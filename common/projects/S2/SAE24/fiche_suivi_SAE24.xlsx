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s généraux" sheetId="1" r:id="rId5"/>
    <sheet state="visible" name="Feuille suivi général" sheetId="2" r:id="rId6"/>
    <sheet state="visible" name="total moteurs" sheetId="3" r:id="rId7"/>
    <sheet state="hidden" name="Feuille suivi Séance 1" sheetId="4" r:id="rId8"/>
    <sheet state="hidden" name="Feuille suivi Séance 2" sheetId="5" r:id="rId9"/>
    <sheet state="hidden" name="Feuille suivi Séance 3" sheetId="6" r:id="rId10"/>
    <sheet state="hidden" name="Feuille suivi Séance 4" sheetId="7" r:id="rId11"/>
    <sheet state="hidden" name="Feuille suivi Séance 5" sheetId="8" r:id="rId12"/>
    <sheet state="visible" name="Equerre ph0" sheetId="9" r:id="rId13"/>
    <sheet state="visible" name="Equerre ph10" sheetId="10" r:id="rId14"/>
    <sheet state="visible" name="Equerre ph20" sheetId="11" r:id="rId15"/>
    <sheet state="visible" name="Equerre ph30" sheetId="12" r:id="rId16"/>
    <sheet state="visible" name="Equerre ph40" sheetId="13" r:id="rId17"/>
    <sheet state="visible" name="Support ph10" sheetId="14" r:id="rId18"/>
    <sheet state="visible" name="Support ph15" sheetId="15" r:id="rId19"/>
    <sheet state="visible" name="Support ph20" sheetId="16" r:id="rId20"/>
    <sheet state="visible" name="Support ph30" sheetId="17" r:id="rId21"/>
    <sheet state="visible" name="Support ph40" sheetId="18" r:id="rId22"/>
    <sheet state="visible" name="Support ph50" sheetId="19" r:id="rId23"/>
    <sheet state="visible" name="Support ph60" sheetId="20" r:id="rId24"/>
    <sheet state="visible" name="Palier ph10" sheetId="21" r:id="rId25"/>
    <sheet state="visible" name="Palier ph20" sheetId="22" r:id="rId26"/>
    <sheet state="visible" name="Cylindre ph10" sheetId="23" r:id="rId27"/>
    <sheet state="visible" name="Cylindre ph20" sheetId="24" r:id="rId28"/>
    <sheet state="visible" name="Cylindre ph30" sheetId="25" r:id="rId29"/>
    <sheet state="visible" name="Volant ph0" sheetId="26" r:id="rId30"/>
    <sheet state="visible" name="Volant ph10" sheetId="27" r:id="rId31"/>
    <sheet state="visible" name="Volant ph20" sheetId="28" r:id="rId32"/>
    <sheet state="visible" name="Volant ph30" sheetId="29" r:id="rId33"/>
    <sheet state="visible" name="Volant ph40" sheetId="30" r:id="rId34"/>
    <sheet state="visible" name="Piston ph20" sheetId="31" r:id="rId35"/>
    <sheet state="visible" name="Piston ph30" sheetId="32" r:id="rId36"/>
    <sheet state="visible" name="Piston ph40" sheetId="33" r:id="rId37"/>
    <sheet state="visible" name="Piston ph50" sheetId="34" r:id="rId38"/>
    <sheet state="visible" name="Raccord M8 ph10" sheetId="35" r:id="rId39"/>
    <sheet state="visible" name="Raccord M8 ph20" sheetId="36" r:id="rId40"/>
    <sheet state="visible" name="Pied ph10" sheetId="37" r:id="rId41"/>
    <sheet state="visible" name="Copie de Feuille suivi" sheetId="38" r:id="rId4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tc={069b04a4-cb41-46b3-be9e-c2a63faba2a4}</author>
    <author>tc={dea64be5-358e-41c1-a565-d2dff032ee75}</author>
  </authors>
  <commentList>
    <comment authorId="0" xr:uid="{069b04a4-cb41-46b3-be9e-c2a63faba2a4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taux charges réel "102.5%"
Attention To = 4 heures
</t>
      </text>
    </comment>
    <comment authorId="1" xr:uid="{dea64be5-358e-41c1-a565-d2dff032ee75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Pour le calcul de la charge en minutes ne pas oublier d'y ajouter le temps de préparation disponible dans les documents sur le réseaux
</t>
      </text>
    </comment>
  </commentList>
</comments>
</file>

<file path=xl/sharedStrings.xml><?xml version="1.0" encoding="utf-8"?>
<sst xmlns="http://schemas.openxmlformats.org/spreadsheetml/2006/main" count="1436" uniqueCount="230">
  <si>
    <t xml:space="preserve"> </t>
  </si>
  <si>
    <t>Pièce</t>
  </si>
  <si>
    <t>Phase</t>
  </si>
  <si>
    <t>Dénomination</t>
  </si>
  <si>
    <t>Machine</t>
  </si>
  <si>
    <t>Responsable 2.3</t>
  </si>
  <si>
    <t>Responsable 2.4</t>
  </si>
  <si>
    <t>nb de pièce
(en entrée)</t>
  </si>
  <si>
    <t>La charge (min)</t>
  </si>
  <si>
    <t>Taux charge (Tr/1080) du poste</t>
  </si>
  <si>
    <t>Temps cycle eff (min)</t>
  </si>
  <si>
    <t>Top (min)</t>
  </si>
  <si>
    <t>responsable usinage</t>
  </si>
  <si>
    <t>informations supp
(ne modifier rien sur cette colonne)</t>
  </si>
  <si>
    <t>Support</t>
  </si>
  <si>
    <t>Fraisage conv</t>
  </si>
  <si>
    <t>Fr 12</t>
  </si>
  <si>
    <t>COURAU</t>
  </si>
  <si>
    <t>OUALI</t>
  </si>
  <si>
    <t>E.SANCHEZ</t>
  </si>
  <si>
    <t>Fraiseuse</t>
  </si>
  <si>
    <t>DENISART</t>
  </si>
  <si>
    <t>BABA</t>
  </si>
  <si>
    <t>KAWTARI</t>
  </si>
  <si>
    <t>LEONE GOMEZ</t>
  </si>
  <si>
    <t>NOCHE</t>
  </si>
  <si>
    <t>calcules pur une piece. usinage pour 4 en mm temps</t>
  </si>
  <si>
    <t xml:space="preserve">Fraisage CN </t>
  </si>
  <si>
    <t>Romi (uinages simultanés)</t>
  </si>
  <si>
    <t>BENIC</t>
  </si>
  <si>
    <t>ROGER</t>
  </si>
  <si>
    <t>ZEFIZEF</t>
  </si>
  <si>
    <t>Tcyeff ne comprend pas la préparation machine, le temps requis et le Top oui.</t>
  </si>
  <si>
    <t>Equerre</t>
  </si>
  <si>
    <t>HAAS (uinages simultanés)</t>
  </si>
  <si>
    <t>MORIN</t>
  </si>
  <si>
    <t xml:space="preserve">Usinage par lot de pièce
Les Tcyeff et Top ne comprennent pas la préparation machine, le temps requis oui.
</t>
  </si>
  <si>
    <t>Fraisage CN</t>
  </si>
  <si>
    <t>C2</t>
  </si>
  <si>
    <t>SIDHOM</t>
  </si>
  <si>
    <t>Taraudage</t>
  </si>
  <si>
    <t>Taraudeuse</t>
  </si>
  <si>
    <t>-</t>
  </si>
  <si>
    <t>Découpage</t>
  </si>
  <si>
    <t>Jet d'eau</t>
  </si>
  <si>
    <t>ROGER/OZMEN</t>
  </si>
  <si>
    <t>DAUDET</t>
  </si>
  <si>
    <t>ne pas faire</t>
  </si>
  <si>
    <t>Palier</t>
  </si>
  <si>
    <t>Tournage CN</t>
  </si>
  <si>
    <t>CTX 200</t>
  </si>
  <si>
    <t>LEONE--GOMEZ / TREHEUX</t>
  </si>
  <si>
    <t>DENISART TEPER</t>
  </si>
  <si>
    <t>Cylindre</t>
  </si>
  <si>
    <t>Tournage conv</t>
  </si>
  <si>
    <t>Tour</t>
  </si>
  <si>
    <t>OZMEN</t>
  </si>
  <si>
    <t>Haas</t>
  </si>
  <si>
    <t>ELMOURABIT</t>
  </si>
  <si>
    <t>BOUZIDENE</t>
  </si>
  <si>
    <t>CARDINALE</t>
  </si>
  <si>
    <t xml:space="preserve">pour le contrôle utiliser 
la métrios pour toute les côtes </t>
  </si>
  <si>
    <t>Volant</t>
  </si>
  <si>
    <t>Moulage</t>
  </si>
  <si>
    <t>E.OUALI - DENISART</t>
  </si>
  <si>
    <t>Parachèvement</t>
  </si>
  <si>
    <t>Scie à ruban</t>
  </si>
  <si>
    <t>SANCHEZ</t>
  </si>
  <si>
    <t>Piston</t>
  </si>
  <si>
    <t>Mini tour</t>
  </si>
  <si>
    <t>Pliage</t>
  </si>
  <si>
    <t>Plieuse</t>
  </si>
  <si>
    <t>Raccord M8</t>
  </si>
  <si>
    <t>GL 250</t>
  </si>
  <si>
    <t>TREHEUX</t>
  </si>
  <si>
    <t>CTX200</t>
  </si>
  <si>
    <t>SANCHEZ SARTORI</t>
  </si>
  <si>
    <t>Pied</t>
  </si>
  <si>
    <t>TBI 280</t>
  </si>
  <si>
    <t>nb de pièce</t>
  </si>
  <si>
    <t>Temps requis (min)</t>
  </si>
  <si>
    <t>informations supp</t>
  </si>
  <si>
    <t>AGRIGNAN</t>
  </si>
  <si>
    <t>MANSOUR</t>
  </si>
  <si>
    <t>MARZOUKI</t>
  </si>
  <si>
    <t>Opérateur</t>
  </si>
  <si>
    <t>nb de pièces à faire</t>
  </si>
  <si>
    <t>nb pièces réalisées</t>
  </si>
  <si>
    <t>rebuts</t>
  </si>
  <si>
    <t>taux de qualité</t>
  </si>
  <si>
    <t>taux de qualité h-1</t>
  </si>
  <si>
    <t>temps cycle moyen</t>
  </si>
  <si>
    <t>temps requis pour finir l'usinage</t>
  </si>
  <si>
    <t>% pi réalisées</t>
  </si>
  <si>
    <t>Marzouki</t>
  </si>
  <si>
    <t xml:space="preserve">temps réstant : </t>
  </si>
  <si>
    <t>Dernières séances</t>
  </si>
  <si>
    <t>Non réalisé</t>
  </si>
  <si>
    <t>Après 1ere séance</t>
  </si>
  <si>
    <t>Séance 1</t>
  </si>
  <si>
    <t>Séance 2</t>
  </si>
  <si>
    <t>Séance 3</t>
  </si>
  <si>
    <t>Séance 4</t>
  </si>
  <si>
    <t>Séance 5</t>
  </si>
  <si>
    <t xml:space="preserve">Nombre de moteurs réalisés </t>
  </si>
  <si>
    <t>Heure du jour / Fin</t>
  </si>
  <si>
    <t>/19</t>
  </si>
  <si>
    <t>Lancement séance</t>
  </si>
  <si>
    <t>temps disponible</t>
  </si>
  <si>
    <t>temps écoulé</t>
  </si>
  <si>
    <t>temps réstant</t>
  </si>
  <si>
    <t>quantité produite</t>
  </si>
  <si>
    <t>nb par moteurs</t>
  </si>
  <si>
    <t>lots produits</t>
  </si>
  <si>
    <t>Phase finale pdt dernières séances</t>
  </si>
  <si>
    <t xml:space="preserve">Nombre de moteur réalisés </t>
  </si>
  <si>
    <t>fiche de suivie de production Pièce : Equerre  Phase :0</t>
  </si>
  <si>
    <t>N°</t>
  </si>
  <si>
    <t>date</t>
  </si>
  <si>
    <t>opérateur</t>
  </si>
  <si>
    <t>heure début usinage</t>
  </si>
  <si>
    <t>heure fin usinage</t>
  </si>
  <si>
    <t>Conformité</t>
  </si>
  <si>
    <t>cote 1</t>
  </si>
  <si>
    <t>cote 2</t>
  </si>
  <si>
    <t>cote 3</t>
  </si>
  <si>
    <t>temps de cycle</t>
  </si>
  <si>
    <t>ROGER/OSMEN</t>
  </si>
  <si>
    <t>OUI</t>
  </si>
  <si>
    <t>Nb pièce produite (fausse et bonne)</t>
  </si>
  <si>
    <t xml:space="preserve">Nombre piéce fausse </t>
  </si>
  <si>
    <t xml:space="preserve">nombre piéce bonne </t>
  </si>
  <si>
    <t>taux qualité</t>
  </si>
  <si>
    <t>Tcy moyen</t>
  </si>
  <si>
    <t>fiche de suivie de production Pièce : Equerre  Phase :10</t>
  </si>
  <si>
    <t>fiche de suivie de production Pièce : Equerre Phase : 0</t>
  </si>
  <si>
    <t>fiche de suivie de production Pièce : Equerre Phase :30</t>
  </si>
  <si>
    <t>fiche de suivie de production Pièce : Equerre Phase :40</t>
  </si>
  <si>
    <t>Nombre pièces conformes</t>
  </si>
  <si>
    <t>Nombre pièces total</t>
  </si>
  <si>
    <t>fiche de suivie de production Pièce : Support  Phase :10</t>
  </si>
  <si>
    <t>102+/-0,5</t>
  </si>
  <si>
    <t>E.Sanchez</t>
  </si>
  <si>
    <t>101.6</t>
  </si>
  <si>
    <t>101.8</t>
  </si>
  <si>
    <t>102.0</t>
  </si>
  <si>
    <t>NON</t>
  </si>
  <si>
    <t>101.2</t>
  </si>
  <si>
    <t>100.5</t>
  </si>
  <si>
    <t>100.6</t>
  </si>
  <si>
    <t>fiche de suivie de production Pièce : Support  Phase :15</t>
  </si>
  <si>
    <t>100 ± 0,5</t>
  </si>
  <si>
    <t>Sébastien</t>
  </si>
  <si>
    <t>fiche de suivie de production Pièce : Support  Phase :20</t>
  </si>
  <si>
    <t>Chenfrein1</t>
  </si>
  <si>
    <t>Chenfrein2</t>
  </si>
  <si>
    <t>Chenfrein3</t>
  </si>
  <si>
    <t>Chenfrein4</t>
  </si>
  <si>
    <t>fiche de suivie de production Pièce : Support  Phase :30</t>
  </si>
  <si>
    <t>fiche de suivie de production Pièce : Support  Phase :40</t>
  </si>
  <si>
    <t>fiche de suivie de production Pièce : Support  Phase :50</t>
  </si>
  <si>
    <t>fiche de suivie de production Pièce : Support Phase 60</t>
  </si>
  <si>
    <t>fiche de suivie de production Pièce : Palier Phase :10</t>
  </si>
  <si>
    <t xml:space="preserve">Ø10 </t>
  </si>
  <si>
    <t>36,1±0,03</t>
  </si>
  <si>
    <t>Ø8f7</t>
  </si>
  <si>
    <t>Ø 9,6±0,2</t>
  </si>
  <si>
    <t>Commentaires</t>
  </si>
  <si>
    <t xml:space="preserve">Mise en place du premier brut pour faire chauffer la broche </t>
  </si>
  <si>
    <t xml:space="preserve">Correction de la jauge outil pour les pièces suivante </t>
  </si>
  <si>
    <t>/38</t>
  </si>
  <si>
    <t xml:space="preserve">Erreur de modification de jauge outil </t>
  </si>
  <si>
    <t xml:space="preserve">Nouveaux brut </t>
  </si>
  <si>
    <t>fiche de suivie de production Pièce : Palier  Phase :20</t>
  </si>
  <si>
    <t>fiche de suivie de production Pièce : Cylindre Phase :10</t>
  </si>
  <si>
    <t>fiche de suivie de production Pièce : Cylindre Phase :30</t>
  </si>
  <si>
    <t>13±0,25</t>
  </si>
  <si>
    <t>Ø10H7</t>
  </si>
  <si>
    <t>3*Ø8H7</t>
  </si>
  <si>
    <t>Ø22</t>
  </si>
  <si>
    <t>fiche de suivie de production Pièce : Volant  Phase :0</t>
  </si>
  <si>
    <t xml:space="preserve"> Nombre de pièces</t>
  </si>
  <si>
    <t>Masse rajoutée (en kg)</t>
  </si>
  <si>
    <t>fiche de suivie de production Pièce : Volant  Phase :10</t>
  </si>
  <si>
    <t>fiche de suivie de production Pièce : Volant  :20</t>
  </si>
  <si>
    <t>84 ± 0,5</t>
  </si>
  <si>
    <t>82 + 0,3 / 0</t>
  </si>
  <si>
    <t>15 + 0,3 / 0</t>
  </si>
  <si>
    <t>5 ± 0,5</t>
  </si>
  <si>
    <t>fiche de suivie de production Pièce :  Volant : 30</t>
  </si>
  <si>
    <t>Ø35+0,039</t>
  </si>
  <si>
    <t>14+/-0,5</t>
  </si>
  <si>
    <t>Ø40+/-0,3</t>
  </si>
  <si>
    <t>fiche de suivie de production Pièce : Volant  Phase :40</t>
  </si>
  <si>
    <t>/22</t>
  </si>
  <si>
    <t>fiche de suivie de production Pièce : piston : 20</t>
  </si>
  <si>
    <t xml:space="preserve">ELMOURABIT </t>
  </si>
  <si>
    <t>fiche de suivie de production Pièce : Piston : 30</t>
  </si>
  <si>
    <t>longeur 79±0,1</t>
  </si>
  <si>
    <t>vérif chanf. 1mm</t>
  </si>
  <si>
    <t>longueur brut</t>
  </si>
  <si>
    <t>fiche de suivie de production Pièce : piston  : 40</t>
  </si>
  <si>
    <t>47,4 +/- 0,4</t>
  </si>
  <si>
    <t>32,6 +/-0,5</t>
  </si>
  <si>
    <t>2,9+/-0,05</t>
  </si>
  <si>
    <t>fiche de suivie de production Pièce : piston :50</t>
  </si>
  <si>
    <t>cote 1
90°</t>
  </si>
  <si>
    <t>/57</t>
  </si>
  <si>
    <t>fiche de suivie de production Pièce : Raccord M8  Phase :10</t>
  </si>
  <si>
    <t>ø6 ±0,1</t>
  </si>
  <si>
    <t>ø3±0,7</t>
  </si>
  <si>
    <t>ø5,5±0,1</t>
  </si>
  <si>
    <t>11±0,05</t>
  </si>
  <si>
    <t>2,036±0,05</t>
  </si>
  <si>
    <t>1±0,05</t>
  </si>
  <si>
    <t>0,25±0,05</t>
  </si>
  <si>
    <t>7°</t>
  </si>
  <si>
    <t>45°</t>
  </si>
  <si>
    <t>fiche de suivie de production Pièce : Raccord M8  Phase :20</t>
  </si>
  <si>
    <t>fiche de suivie de production Pièce : Pied  Phase :10</t>
  </si>
  <si>
    <t>Ø4,8H13</t>
  </si>
  <si>
    <t>Ø12±0,2</t>
  </si>
  <si>
    <t>Ø9,4±0,2</t>
  </si>
  <si>
    <t>/76</t>
  </si>
  <si>
    <t>nb de pièce à faire</t>
  </si>
  <si>
    <t>nb pièce réalisées</t>
  </si>
  <si>
    <t>rubuts</t>
  </si>
  <si>
    <t>taux de qualitée</t>
  </si>
  <si>
    <t>% pi réaliser</t>
  </si>
  <si>
    <t>Heure du jour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</si>
</sst>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:mm:ss"/>
    <numFmt numFmtId="165" formatCode="HH:mm:ss"/>
    <numFmt numFmtId="166" formatCode="hh&quot;:&quot;mm&quot;:&quot;ss"/>
    <numFmt numFmtId="167" formatCode="dd/mm"/>
    <numFmt numFmtId="168" formatCode="dd/mm/yyyy"/>
    <numFmt numFmtId="169" formatCode="hh:mm"/>
    <numFmt numFmtId="170" formatCode="d/m"/>
    <numFmt numFmtId="171" formatCode="d.m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sz val="12.0"/>
      <color rgb="FF000000"/>
      <name val="Calibri"/>
    </font>
    <font>
      <sz val="12.0"/>
      <color theme="1"/>
      <name val="Calibri"/>
    </font>
    <font>
      <b/>
      <sz val="11.0"/>
      <color rgb="FFFFFFFF"/>
      <name val="Calibri"/>
    </font>
    <font>
      <b/>
      <color rgb="FFFFFFFF"/>
      <name val="Arial"/>
      <scheme val="minor"/>
    </font>
    <font>
      <b/>
      <u/>
      <sz val="11.0"/>
      <color rgb="FF0000FF"/>
      <name val="Calibri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color rgb="FF000000"/>
      <name val="Arial"/>
      <scheme val="minor"/>
    </font>
    <font>
      <b/>
      <u/>
      <sz val="11.0"/>
      <color rgb="FF0000FF"/>
      <name val="Calibri"/>
    </font>
    <font>
      <b/>
      <color theme="1"/>
      <name val="Arial"/>
    </font>
    <font>
      <color theme="1"/>
      <name val="Arial"/>
    </font>
    <font>
      <b/>
      <i/>
      <sz val="11.0"/>
      <color rgb="FF000000"/>
      <name val="Calibri"/>
    </font>
    <font>
      <b/>
      <i/>
      <sz val="11.0"/>
      <color rgb="FFFFFFFF"/>
      <name val="Calibri"/>
    </font>
    <font>
      <b/>
      <sz val="8.0"/>
      <color rgb="FF000000"/>
      <name val="Calibri"/>
    </font>
    <font>
      <b/>
      <i/>
      <sz val="12.0"/>
      <color rgb="FF000000"/>
      <name val="Calibri"/>
    </font>
    <font>
      <sz val="11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rgb="FFFBBC04"/>
      <name val="Calibri"/>
    </font>
    <font>
      <b/>
      <sz val="11.0"/>
      <color rgb="FF000000"/>
      <name val="Arial"/>
    </font>
    <font>
      <sz val="11.0"/>
      <color rgb="FFFFFFFF"/>
      <name val="&quot;Aptos Narrow&quot;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sz val="16.0"/>
      <color theme="1"/>
      <name val="Arial"/>
    </font>
    <font>
      <sz val="11.0"/>
      <color rgb="FFFFFFFF"/>
      <name val="Aptos Narrow"/>
    </font>
    <font>
      <b/>
      <sz val="11.0"/>
      <color rgb="FFFFFFFF"/>
      <name val="Aptos Narrow"/>
    </font>
    <font>
      <b/>
      <color rgb="FFFFFFFF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color rgb="FFFFFFFF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757171"/>
        <bgColor rgb="FF757171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vertical="center"/>
    </xf>
    <xf borderId="3" fillId="0" fontId="1" numFmtId="10" xfId="0" applyAlignment="1" applyBorder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shrinkToFit="0" vertical="center" wrapText="0"/>
    </xf>
    <xf borderId="6" fillId="3" fontId="2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ill="1" applyFont="1">
      <alignment horizontal="center" readingOrder="0" shrinkToFit="0" vertical="center" wrapText="0"/>
    </xf>
    <xf borderId="6" fillId="5" fontId="3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10" xfId="0" applyAlignment="1" applyBorder="1" applyFont="1" applyNumberFormat="1">
      <alignment horizontal="center" readingOrder="0" vertical="center"/>
    </xf>
    <xf borderId="7" fillId="6" fontId="3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5" fillId="0" fontId="4" numFmtId="0" xfId="0" applyBorder="1" applyFont="1"/>
    <xf borderId="6" fillId="7" fontId="5" numFmtId="0" xfId="0" applyAlignment="1" applyBorder="1" applyFill="1" applyFont="1">
      <alignment horizontal="center" readingOrder="0" shrinkToFit="0" vertical="center" wrapText="0"/>
    </xf>
    <xf borderId="3" fillId="8" fontId="1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0"/>
    </xf>
    <xf borderId="6" fillId="8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ill="1" applyFont="1">
      <alignment horizontal="center" readingOrder="0" shrinkToFit="0" vertical="center" wrapText="0"/>
    </xf>
    <xf borderId="3" fillId="9" fontId="1" numFmtId="0" xfId="0" applyAlignment="1" applyBorder="1" applyFont="1">
      <alignment horizontal="center" readingOrder="0" vertical="center"/>
    </xf>
    <xf borderId="6" fillId="6" fontId="3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3" fillId="0" fontId="1" numFmtId="2" xfId="0" applyAlignment="1" applyBorder="1" applyFont="1" applyNumberFormat="1">
      <alignment horizontal="center" readingOrder="0" vertical="center"/>
    </xf>
    <xf borderId="3" fillId="0" fontId="3" numFmtId="2" xfId="0" applyAlignment="1" applyBorder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1" fillId="10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ont="1">
      <alignment horizontal="center" readingOrder="0" vertical="center"/>
    </xf>
    <xf borderId="2" fillId="11" fontId="2" numFmtId="0" xfId="0" applyAlignment="1" applyBorder="1" applyFill="1" applyFont="1">
      <alignment horizontal="center" readingOrder="0" vertical="center"/>
    </xf>
    <xf borderId="3" fillId="12" fontId="1" numFmtId="0" xfId="0" applyAlignment="1" applyBorder="1" applyFill="1" applyFont="1">
      <alignment horizontal="center" readingOrder="0" vertical="center"/>
    </xf>
    <xf borderId="3" fillId="12" fontId="1" numFmtId="0" xfId="0" applyAlignment="1" applyBorder="1" applyFont="1">
      <alignment horizontal="center" readingOrder="0" shrinkToFit="0" vertical="center" wrapText="1"/>
    </xf>
    <xf borderId="5" fillId="13" fontId="2" numFmtId="0" xfId="0" applyAlignment="1" applyBorder="1" applyFill="1" applyFont="1">
      <alignment horizontal="center" readingOrder="0" shrinkToFit="0" vertical="center" wrapText="0"/>
    </xf>
    <xf borderId="6" fillId="13" fontId="2" numFmtId="0" xfId="0" applyAlignment="1" applyBorder="1" applyFont="1">
      <alignment horizontal="center" readingOrder="0" shrinkToFit="0" vertical="center" wrapText="0"/>
    </xf>
    <xf borderId="2" fillId="14" fontId="7" numFmtId="0" xfId="0" applyAlignment="1" applyBorder="1" applyFill="1" applyFont="1">
      <alignment horizontal="center" readingOrder="0" vertical="center"/>
    </xf>
    <xf borderId="3" fillId="14" fontId="8" numFmtId="0" xfId="0" applyAlignment="1" applyBorder="1" applyFont="1">
      <alignment horizontal="center" readingOrder="0" vertical="center"/>
    </xf>
    <xf borderId="3" fillId="14" fontId="8" numFmtId="0" xfId="0" applyAlignment="1" applyBorder="1" applyFont="1">
      <alignment horizontal="center" readingOrder="0" shrinkToFit="0" vertical="center" wrapText="1"/>
    </xf>
    <xf borderId="8" fillId="14" fontId="8" numFmtId="0" xfId="0" applyAlignment="1" applyBorder="1" applyFont="1">
      <alignment horizontal="center" readingOrder="0" vertical="center"/>
    </xf>
    <xf borderId="9" fillId="0" fontId="4" numFmtId="0" xfId="0" applyBorder="1" applyFont="1"/>
    <xf borderId="6" fillId="12" fontId="9" numFmtId="0" xfId="0" applyAlignment="1" applyBorder="1" applyFont="1">
      <alignment horizontal="center" readingOrder="0" shrinkToFit="0" vertical="center" wrapText="0"/>
    </xf>
    <xf borderId="3" fillId="11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3" fillId="0" fontId="11" numFmtId="10" xfId="0" applyAlignment="1" applyBorder="1" applyFont="1" applyNumberFormat="1">
      <alignment horizontal="center" readingOrder="0" vertical="center"/>
    </xf>
    <xf borderId="0" fillId="0" fontId="10" numFmtId="10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3" fillId="0" fontId="10" numFmtId="165" xfId="0" applyAlignment="1" applyBorder="1" applyFont="1" applyNumberFormat="1">
      <alignment horizontal="center" vertical="center"/>
    </xf>
    <xf borderId="3" fillId="0" fontId="10" numFmtId="10" xfId="0" applyAlignment="1" applyBorder="1" applyFont="1" applyNumberFormat="1">
      <alignment horizontal="center" vertical="center"/>
    </xf>
    <xf borderId="3" fillId="14" fontId="8" numFmtId="0" xfId="0" applyAlignment="1" applyBorder="1" applyFont="1">
      <alignment readingOrder="0"/>
    </xf>
    <xf borderId="4" fillId="5" fontId="12" numFmtId="165" xfId="0" applyAlignment="1" applyBorder="1" applyFont="1" applyNumberFormat="1">
      <alignment readingOrder="0"/>
    </xf>
    <xf borderId="1" fillId="14" fontId="7" numFmtId="0" xfId="0" applyAlignment="1" applyBorder="1" applyFont="1">
      <alignment horizontal="center" readingOrder="0" vertical="center"/>
    </xf>
    <xf borderId="1" fillId="13" fontId="2" numFmtId="0" xfId="0" applyAlignment="1" applyBorder="1" applyFont="1">
      <alignment horizontal="center" readingOrder="0" shrinkToFit="0" vertical="center" wrapText="0"/>
    </xf>
    <xf borderId="4" fillId="12" fontId="13" numFmtId="0" xfId="0" applyAlignment="1" applyBorder="1" applyFont="1">
      <alignment horizontal="center" readingOrder="0" shrinkToFit="0" vertical="center" wrapText="0"/>
    </xf>
    <xf borderId="3" fillId="0" fontId="14" numFmtId="0" xfId="0" applyAlignment="1" applyBorder="1" applyFont="1">
      <alignment horizontal="center"/>
    </xf>
    <xf borderId="3" fillId="0" fontId="15" numFmtId="0" xfId="0" applyAlignment="1" applyBorder="1" applyFont="1">
      <alignment horizontal="center"/>
    </xf>
    <xf borderId="3" fillId="0" fontId="11" numFmtId="10" xfId="0" applyAlignment="1" applyBorder="1" applyFont="1" applyNumberFormat="1">
      <alignment horizontal="center"/>
    </xf>
    <xf borderId="3" fillId="0" fontId="10" numFmtId="165" xfId="0" applyAlignment="1" applyBorder="1" applyFont="1" applyNumberFormat="1">
      <alignment horizontal="center" readingOrder="0" vertical="center"/>
    </xf>
    <xf borderId="10" fillId="0" fontId="4" numFmtId="0" xfId="0" applyBorder="1" applyFont="1"/>
    <xf borderId="0" fillId="0" fontId="1" numFmtId="0" xfId="0" applyAlignment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0"/>
    </xf>
    <xf borderId="10" fillId="13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3" fillId="7" fontId="16" numFmtId="0" xfId="0" applyAlignment="1" applyBorder="1" applyFont="1">
      <alignment horizontal="center" readingOrder="0" vertical="center"/>
    </xf>
    <xf borderId="1" fillId="0" fontId="10" numFmtId="10" xfId="0" applyAlignment="1" applyBorder="1" applyFont="1" applyNumberFormat="1">
      <alignment horizontal="center" vertical="center"/>
    </xf>
    <xf borderId="3" fillId="14" fontId="17" numFmtId="0" xfId="0" applyAlignment="1" applyBorder="1" applyFont="1">
      <alignment horizontal="center" readingOrder="0" vertical="center"/>
    </xf>
    <xf borderId="8" fillId="14" fontId="17" numFmtId="0" xfId="0" applyAlignment="1" applyBorder="1" applyFont="1">
      <alignment horizontal="center" readingOrder="0"/>
    </xf>
    <xf borderId="4" fillId="0" fontId="4" numFmtId="0" xfId="0" applyBorder="1" applyFont="1"/>
    <xf borderId="3" fillId="0" fontId="18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0" numFmtId="10" xfId="0" applyAlignment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3" fillId="7" fontId="19" numFmtId="0" xfId="0" applyAlignment="1" applyBorder="1" applyFont="1">
      <alignment horizontal="center" readingOrder="0" shrinkToFit="0" vertical="center" wrapText="0"/>
    </xf>
    <xf borderId="0" fillId="5" fontId="1" numFmtId="0" xfId="0" applyAlignment="1" applyFont="1">
      <alignment vertical="center"/>
    </xf>
    <xf borderId="0" fillId="5" fontId="1" numFmtId="0" xfId="0" applyFont="1"/>
    <xf borderId="3" fillId="14" fontId="8" numFmtId="0" xfId="0" applyAlignment="1" applyBorder="1" applyFont="1">
      <alignment horizontal="center"/>
    </xf>
    <xf borderId="3" fillId="14" fontId="8" numFmtId="0" xfId="0" applyAlignment="1" applyBorder="1" applyFont="1">
      <alignment horizontal="center" readingOrder="0"/>
    </xf>
    <xf borderId="0" fillId="0" fontId="1" numFmtId="0" xfId="0" applyAlignment="1" applyFont="1">
      <alignment vertical="center"/>
    </xf>
    <xf borderId="0" fillId="0" fontId="8" numFmtId="0" xfId="0" applyAlignment="1" applyFont="1">
      <alignment horizontal="center" readingOrder="0"/>
    </xf>
    <xf borderId="11" fillId="14" fontId="8" numFmtId="0" xfId="0" applyAlignment="1" applyBorder="1" applyFont="1">
      <alignment horizontal="center" readingOrder="0"/>
    </xf>
    <xf borderId="2" fillId="0" fontId="4" numFmtId="0" xfId="0" applyBorder="1" applyFont="1"/>
    <xf borderId="3" fillId="5" fontId="20" numFmtId="165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horizontal="center"/>
    </xf>
    <xf borderId="8" fillId="0" fontId="21" numFmtId="0" xfId="0" applyAlignment="1" applyBorder="1" applyFont="1">
      <alignment horizontal="center"/>
    </xf>
    <xf borderId="3" fillId="0" fontId="21" numFmtId="0" xfId="0" applyAlignment="1" applyBorder="1" applyFont="1">
      <alignment horizontal="center" readingOrder="0"/>
    </xf>
    <xf borderId="8" fillId="11" fontId="22" numFmtId="164" xfId="0" applyAlignment="1" applyBorder="1" applyFont="1" applyNumberFormat="1">
      <alignment horizontal="center" readingOrder="0"/>
    </xf>
    <xf borderId="3" fillId="0" fontId="1" numFmtId="165" xfId="0" applyAlignment="1" applyBorder="1" applyFont="1" applyNumberFormat="1">
      <alignment horizontal="center"/>
    </xf>
    <xf borderId="8" fillId="5" fontId="10" numFmtId="164" xfId="0" applyAlignment="1" applyBorder="1" applyFont="1" applyNumberFormat="1">
      <alignment horizontal="center" readingOrder="0"/>
    </xf>
    <xf borderId="0" fillId="15" fontId="1" numFmtId="0" xfId="0" applyAlignment="1" applyFill="1" applyFont="1">
      <alignment readingOrder="0"/>
    </xf>
    <xf borderId="4" fillId="16" fontId="23" numFmtId="0" xfId="0" applyAlignment="1" applyBorder="1" applyFill="1" applyFont="1">
      <alignment horizontal="center" readingOrder="0" shrinkToFit="0" vertical="center" wrapText="0"/>
    </xf>
    <xf borderId="4" fillId="16" fontId="2" numFmtId="0" xfId="0" applyAlignment="1" applyBorder="1" applyFont="1">
      <alignment horizontal="right" readingOrder="0" shrinkToFit="0" vertical="center" wrapText="0"/>
    </xf>
    <xf borderId="4" fillId="16" fontId="2" numFmtId="0" xfId="0" applyAlignment="1" applyBorder="1" applyFont="1">
      <alignment horizontal="center" readingOrder="0" shrinkToFit="0" vertical="center" wrapText="0"/>
    </xf>
    <xf borderId="1" fillId="0" fontId="1" numFmtId="0" xfId="0" applyBorder="1" applyFont="1"/>
    <xf borderId="8" fillId="0" fontId="21" numFmtId="0" xfId="0" applyBorder="1" applyFont="1"/>
    <xf borderId="11" fillId="0" fontId="24" numFmtId="0" xfId="0" applyAlignment="1" applyBorder="1" applyFont="1">
      <alignment horizontal="center" readingOrder="0" shrinkToFit="0" wrapText="0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0" fillId="14" fontId="25" numFmtId="0" xfId="0" applyAlignment="1" applyBorder="1" applyFont="1">
      <alignment horizontal="center" readingOrder="0" shrinkToFit="0" vertical="center" wrapText="0"/>
    </xf>
    <xf borderId="10" fillId="14" fontId="26" numFmtId="0" xfId="0" applyAlignment="1" applyBorder="1" applyFont="1">
      <alignment horizontal="center" readingOrder="0" shrinkToFit="0" vertical="center" wrapText="0"/>
    </xf>
    <xf borderId="10" fillId="14" fontId="26" numFmtId="0" xfId="0" applyAlignment="1" applyBorder="1" applyFont="1">
      <alignment horizontal="center" readingOrder="0" vertical="center"/>
    </xf>
    <xf borderId="10" fillId="17" fontId="27" numFmtId="0" xfId="0" applyAlignment="1" applyBorder="1" applyFill="1" applyFont="1">
      <alignment horizontal="center" readingOrder="0" shrinkToFit="0" wrapText="0"/>
    </xf>
    <xf borderId="10" fillId="14" fontId="27" numFmtId="0" xfId="0" applyAlignment="1" applyBorder="1" applyFont="1">
      <alignment horizontal="center" readingOrder="0" shrinkToFit="0" vertical="center" wrapText="0"/>
    </xf>
    <xf borderId="0" fillId="14" fontId="8" numFmtId="0" xfId="0" applyAlignment="1" applyFont="1">
      <alignment horizontal="center" readingOrder="0" vertical="center"/>
    </xf>
    <xf borderId="5" fillId="0" fontId="28" numFmtId="0" xfId="0" applyAlignment="1" applyBorder="1" applyFont="1">
      <alignment horizontal="right" readingOrder="0" shrinkToFit="0" vertical="bottom" wrapText="0"/>
    </xf>
    <xf borderId="6" fillId="0" fontId="29" numFmtId="167" xfId="0" applyAlignment="1" applyBorder="1" applyFont="1" applyNumberFormat="1">
      <alignment readingOrder="0" shrinkToFit="0" vertical="bottom" wrapText="0"/>
    </xf>
    <xf borderId="6" fillId="0" fontId="29" numFmtId="0" xfId="0" applyAlignment="1" applyBorder="1" applyFont="1">
      <alignment readingOrder="0" shrinkToFit="0" vertical="bottom" wrapText="0"/>
    </xf>
    <xf borderId="6" fillId="0" fontId="29" numFmtId="165" xfId="0" applyAlignment="1" applyBorder="1" applyFont="1" applyNumberFormat="1">
      <alignment readingOrder="0" shrinkToFit="0" vertical="bottom" wrapText="0"/>
    </xf>
    <xf borderId="6" fillId="0" fontId="28" numFmtId="0" xfId="0" applyAlignment="1" applyBorder="1" applyFont="1">
      <alignment shrinkToFit="0" vertical="bottom" wrapText="0"/>
    </xf>
    <xf borderId="3" fillId="0" fontId="1" numFmtId="165" xfId="0" applyBorder="1" applyFont="1" applyNumberFormat="1"/>
    <xf borderId="6" fillId="0" fontId="29" numFmtId="164" xfId="0" applyAlignment="1" applyBorder="1" applyFont="1" applyNumberFormat="1">
      <alignment readingOrder="0" shrinkToFit="0" vertical="bottom" wrapText="0"/>
    </xf>
    <xf borderId="3" fillId="0" fontId="1" numFmtId="164" xfId="0" applyBorder="1" applyFont="1" applyNumberForma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166" xfId="0" applyBorder="1" applyFont="1" applyNumberFormat="1"/>
    <xf borderId="6" fillId="0" fontId="28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3" fillId="0" fontId="21" numFmtId="0" xfId="0" applyBorder="1" applyFont="1"/>
    <xf borderId="10" fillId="14" fontId="27" numFmtId="0" xfId="0" applyAlignment="1" applyBorder="1" applyFont="1">
      <alignment horizontal="center" readingOrder="0" vertical="center"/>
    </xf>
    <xf borderId="6" fillId="0" fontId="28" numFmtId="168" xfId="0" applyAlignment="1" applyBorder="1" applyFont="1" applyNumberFormat="1">
      <alignment readingOrder="0" shrinkToFit="0" vertical="bottom" wrapText="0"/>
    </xf>
    <xf borderId="11" fillId="0" fontId="30" numFmtId="0" xfId="0" applyAlignment="1" applyBorder="1" applyFont="1">
      <alignment horizontal="center" readingOrder="0" vertical="center"/>
    </xf>
    <xf borderId="10" fillId="14" fontId="31" numFmtId="0" xfId="0" applyAlignment="1" applyBorder="1" applyFont="1">
      <alignment horizontal="center" vertical="center"/>
    </xf>
    <xf borderId="10" fillId="14" fontId="32" numFmtId="0" xfId="0" applyAlignment="1" applyBorder="1" applyFont="1">
      <alignment horizontal="center" vertical="center"/>
    </xf>
    <xf borderId="10" fillId="17" fontId="27" numFmtId="0" xfId="0" applyAlignment="1" applyBorder="1" applyFont="1">
      <alignment horizontal="center" vertical="center"/>
    </xf>
    <xf borderId="0" fillId="14" fontId="33" numFmtId="0" xfId="0" applyAlignment="1" applyFont="1">
      <alignment horizontal="center" vertical="center"/>
    </xf>
    <xf borderId="5" fillId="0" fontId="34" numFmtId="0" xfId="0" applyAlignment="1" applyBorder="1" applyFont="1">
      <alignment horizontal="center" vertical="center"/>
    </xf>
    <xf borderId="6" fillId="0" fontId="15" numFmtId="168" xfId="0" applyAlignment="1" applyBorder="1" applyFont="1" applyNumberForma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6" fillId="0" fontId="35" numFmtId="165" xfId="0" applyAlignment="1" applyBorder="1" applyFont="1" applyNumberFormat="1">
      <alignment horizontal="center" readingOrder="0" vertical="center"/>
    </xf>
    <xf borderId="3" fillId="0" fontId="15" numFmtId="165" xfId="0" applyAlignment="1" applyBorder="1" applyFont="1" applyNumberFormat="1">
      <alignment horizontal="center" vertical="center"/>
    </xf>
    <xf borderId="6" fillId="0" fontId="35" numFmtId="165" xfId="0" applyAlignment="1" applyBorder="1" applyFont="1" applyNumberFormat="1">
      <alignment horizontal="center" vertical="center"/>
    </xf>
    <xf borderId="6" fillId="0" fontId="1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11" fillId="0" fontId="36" numFmtId="0" xfId="0" applyAlignment="1" applyBorder="1" applyFont="1">
      <alignment horizontal="center" readingOrder="0" vertical="bottom"/>
    </xf>
    <xf borderId="10" fillId="14" fontId="31" numFmtId="0" xfId="0" applyAlignment="1" applyBorder="1" applyFont="1">
      <alignment horizontal="center"/>
    </xf>
    <xf borderId="10" fillId="14" fontId="32" numFmtId="0" xfId="0" applyAlignment="1" applyBorder="1" applyFont="1">
      <alignment horizontal="center"/>
    </xf>
    <xf borderId="10" fillId="17" fontId="27" numFmtId="0" xfId="0" applyAlignment="1" applyBorder="1" applyFont="1">
      <alignment horizontal="center" vertical="bottom"/>
    </xf>
    <xf borderId="10" fillId="14" fontId="27" numFmtId="0" xfId="0" applyAlignment="1" applyBorder="1" applyFont="1">
      <alignment horizontal="center" readingOrder="0"/>
    </xf>
    <xf borderId="0" fillId="14" fontId="33" numFmtId="0" xfId="0" applyAlignment="1" applyFont="1">
      <alignment horizontal="center"/>
    </xf>
    <xf borderId="5" fillId="0" fontId="34" numFmtId="0" xfId="0" applyAlignment="1" applyBorder="1" applyFont="1">
      <alignment horizontal="right" vertical="bottom"/>
    </xf>
    <xf borderId="6" fillId="0" fontId="15" numFmtId="167" xfId="0" applyAlignment="1" applyBorder="1" applyFont="1" applyNumberFormat="1">
      <alignment readingOrder="0" vertical="bottom"/>
    </xf>
    <xf borderId="6" fillId="0" fontId="15" numFmtId="0" xfId="0" applyAlignment="1" applyBorder="1" applyFont="1">
      <alignment readingOrder="0" vertical="bottom"/>
    </xf>
    <xf borderId="6" fillId="0" fontId="35" numFmtId="165" xfId="0" applyAlignment="1" applyBorder="1" applyFont="1" applyNumberFormat="1">
      <alignment horizontal="right" readingOrder="0" vertical="bottom"/>
    </xf>
    <xf borderId="6" fillId="0" fontId="15" numFmtId="0" xfId="0" applyAlignment="1" applyBorder="1" applyFont="1">
      <alignment vertical="bottom"/>
    </xf>
    <xf borderId="3" fillId="0" fontId="15" numFmtId="165" xfId="0" applyAlignment="1" applyBorder="1" applyFont="1" applyNumberFormat="1">
      <alignment horizontal="right" vertical="bottom"/>
    </xf>
    <xf borderId="6" fillId="0" fontId="15" numFmtId="167" xfId="0" applyAlignment="1" applyBorder="1" applyFont="1" applyNumberFormat="1">
      <alignment vertical="bottom"/>
    </xf>
    <xf borderId="6" fillId="0" fontId="35" numFmtId="165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vertical="bottom"/>
    </xf>
    <xf borderId="5" fillId="0" fontId="34" numFmtId="0" xfId="0" applyAlignment="1" applyBorder="1" applyFont="1">
      <alignment horizontal="right" vertical="bottom"/>
    </xf>
    <xf borderId="10" fillId="14" fontId="27" numFmtId="0" xfId="0" applyAlignment="1" applyBorder="1" applyFont="1">
      <alignment horizontal="center"/>
    </xf>
    <xf borderId="0" fillId="14" fontId="33" numFmtId="0" xfId="0" applyAlignment="1" applyFont="1">
      <alignment horizontal="center"/>
    </xf>
    <xf borderId="0" fillId="0" fontId="15" numFmtId="0" xfId="0" applyAlignment="1" applyFont="1">
      <alignment vertical="bottom"/>
    </xf>
    <xf borderId="3" fillId="0" fontId="15" numFmtId="0" xfId="0" applyAlignment="1" applyBorder="1" applyFont="1">
      <alignment horizontal="right" vertical="bottom"/>
    </xf>
    <xf borderId="11" fillId="0" fontId="24" numFmtId="0" xfId="0" applyAlignment="1" applyBorder="1" applyFont="1">
      <alignment horizontal="center" readingOrder="0" shrinkToFit="0" vertical="center" wrapText="0"/>
    </xf>
    <xf borderId="10" fillId="17" fontId="25" numFmtId="0" xfId="0" applyAlignment="1" applyBorder="1" applyFont="1">
      <alignment horizontal="center" readingOrder="0" shrinkToFit="0" wrapText="0"/>
    </xf>
    <xf borderId="10" fillId="17" fontId="26" numFmtId="0" xfId="0" applyAlignment="1" applyBorder="1" applyFont="1">
      <alignment horizontal="center" readingOrder="0" shrinkToFit="0" wrapText="0"/>
    </xf>
    <xf borderId="10" fillId="17" fontId="26" numFmtId="0" xfId="0" applyAlignment="1" applyBorder="1" applyFont="1">
      <alignment horizontal="center" readingOrder="0"/>
    </xf>
    <xf borderId="1" fillId="14" fontId="37" numFmtId="0" xfId="0" applyAlignment="1" applyBorder="1" applyFont="1">
      <alignment horizontal="center" readingOrder="0"/>
    </xf>
    <xf borderId="0" fillId="14" fontId="37" numFmtId="0" xfId="0" applyAlignment="1" applyFont="1">
      <alignment horizontal="center" readingOrder="0"/>
    </xf>
    <xf borderId="1" fillId="14" fontId="38" numFmtId="0" xfId="0" applyAlignment="1" applyBorder="1" applyFont="1">
      <alignment readingOrder="0"/>
    </xf>
    <xf borderId="5" fillId="0" fontId="4" numFmtId="0" xfId="0" applyBorder="1" applyFont="1"/>
    <xf borderId="6" fillId="0" fontId="15" numFmtId="0" xfId="0" applyAlignment="1" applyBorder="1" applyFont="1">
      <alignment horizontal="right" readingOrder="0" vertical="bottom"/>
    </xf>
    <xf borderId="8" fillId="0" fontId="15" numFmtId="165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9" fillId="0" fontId="21" numFmtId="0" xfId="0" applyBorder="1" applyFont="1"/>
    <xf borderId="6" fillId="0" fontId="35" numFmtId="164" xfId="0" applyAlignment="1" applyBorder="1" applyFont="1" applyNumberFormat="1">
      <alignment horizontal="right" readingOrder="0" vertical="bottom"/>
    </xf>
    <xf borderId="3" fillId="0" fontId="1" numFmtId="0" xfId="0" applyBorder="1" applyFont="1"/>
    <xf borderId="4" fillId="0" fontId="21" numFmtId="0" xfId="0" applyBorder="1" applyFont="1"/>
    <xf borderId="6" fillId="0" fontId="15" numFmtId="165" xfId="0" applyAlignment="1" applyBorder="1" applyFont="1" applyNumberFormat="1">
      <alignment horizontal="right" vertical="bottom"/>
    </xf>
    <xf borderId="7" fillId="0" fontId="15" numFmtId="165" xfId="0" applyAlignment="1" applyBorder="1" applyFont="1" applyNumberFormat="1">
      <alignment horizontal="right" vertical="bottom"/>
    </xf>
    <xf borderId="14" fillId="0" fontId="15" numFmtId="0" xfId="0" applyAlignment="1" applyBorder="1" applyFont="1">
      <alignment vertical="bottom"/>
    </xf>
    <xf borderId="3" fillId="0" fontId="15" numFmtId="165" xfId="0" applyAlignment="1" applyBorder="1" applyFont="1" applyNumberFormat="1">
      <alignment horizontal="right" vertical="bottom"/>
    </xf>
    <xf borderId="4" fillId="14" fontId="8" numFmtId="0" xfId="0" applyAlignment="1" applyBorder="1" applyFont="1">
      <alignment readingOrder="0"/>
    </xf>
    <xf borderId="4" fillId="0" fontId="15" numFmtId="0" xfId="0" applyAlignment="1" applyBorder="1" applyFont="1">
      <alignment horizontal="right" vertical="bottom"/>
    </xf>
    <xf borderId="6" fillId="0" fontId="1" numFmtId="0" xfId="0" applyBorder="1" applyFont="1"/>
    <xf borderId="8" fillId="0" fontId="1" numFmtId="165" xfId="0" applyBorder="1" applyFont="1" applyNumberFormat="1"/>
    <xf borderId="3" fillId="0" fontId="28" numFmtId="0" xfId="0" applyAlignment="1" applyBorder="1" applyFont="1">
      <alignment horizontal="right" readingOrder="0" shrinkToFit="0" vertical="bottom" wrapText="0"/>
    </xf>
    <xf borderId="3" fillId="0" fontId="28" numFmtId="0" xfId="0" applyAlignment="1" applyBorder="1" applyFont="1">
      <alignment shrinkToFit="0" vertical="bottom" wrapText="0"/>
    </xf>
    <xf borderId="3" fillId="0" fontId="29" numFmtId="165" xfId="0" applyAlignment="1" applyBorder="1" applyFont="1" applyNumberFormat="1">
      <alignment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9" numFmtId="165" xfId="0" applyAlignment="1" applyFont="1" applyNumberFormat="1">
      <alignment readingOrder="0" shrinkToFit="0" vertical="bottom" wrapText="0"/>
    </xf>
    <xf borderId="11" fillId="0" fontId="36" numFmtId="0" xfId="0" applyAlignment="1" applyBorder="1" applyFont="1">
      <alignment horizontal="center" vertical="bottom"/>
    </xf>
    <xf borderId="3" fillId="0" fontId="29" numFmtId="167" xfId="0" applyAlignment="1" applyBorder="1" applyFont="1" applyNumberFormat="1">
      <alignment readingOrder="0" shrinkToFit="0" vertical="bottom" wrapText="0"/>
    </xf>
    <xf borderId="6" fillId="0" fontId="35" numFmtId="169" xfId="0" applyAlignment="1" applyBorder="1" applyFont="1" applyNumberFormat="1">
      <alignment horizontal="right" readingOrder="0" vertical="bottom"/>
    </xf>
    <xf borderId="3" fillId="0" fontId="15" numFmtId="10" xfId="0" applyAlignment="1" applyBorder="1" applyFont="1" applyNumberFormat="1">
      <alignment horizontal="right" vertical="bottom"/>
    </xf>
    <xf borderId="0" fillId="0" fontId="39" numFmtId="0" xfId="0" applyFont="1"/>
    <xf borderId="10" fillId="14" fontId="32" numFmtId="0" xfId="0" applyAlignment="1" applyBorder="1" applyFont="1">
      <alignment horizontal="center"/>
    </xf>
    <xf borderId="3" fillId="0" fontId="15" numFmtId="0" xfId="0" applyAlignment="1" applyBorder="1" applyFont="1">
      <alignment horizontal="center" vertical="bottom"/>
    </xf>
    <xf borderId="3" fillId="0" fontId="1" numFmtId="166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 readingOrder="0"/>
    </xf>
    <xf borderId="10" fillId="14" fontId="27" numFmtId="0" xfId="0" applyAlignment="1" applyBorder="1" applyFont="1">
      <alignment horizontal="center"/>
    </xf>
    <xf borderId="15" fillId="14" fontId="27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horizontal="center" vertical="center"/>
    </xf>
    <xf borderId="6" fillId="0" fontId="15" numFmtId="168" xfId="0" applyAlignment="1" applyBorder="1" applyFont="1" applyNumberFormat="1">
      <alignment readingOrder="0" vertical="bottom"/>
    </xf>
    <xf borderId="6" fillId="0" fontId="15" numFmtId="168" xfId="0" applyAlignment="1" applyBorder="1" applyFont="1" applyNumberFormat="1">
      <alignment vertical="bottom"/>
    </xf>
    <xf borderId="1" fillId="0" fontId="15" numFmtId="0" xfId="0" applyAlignment="1" applyBorder="1" applyFont="1">
      <alignment vertical="bottom"/>
    </xf>
    <xf borderId="8" fillId="0" fontId="40" numFmtId="0" xfId="0" applyAlignment="1" applyBorder="1" applyFont="1">
      <alignment horizontal="right" vertical="bottom"/>
    </xf>
    <xf borderId="3" fillId="0" fontId="40" numFmtId="0" xfId="0" applyAlignment="1" applyBorder="1" applyFont="1">
      <alignment horizontal="center" vertical="bottom"/>
    </xf>
    <xf borderId="3" fillId="0" fontId="40" numFmtId="0" xfId="0" applyAlignment="1" applyBorder="1" applyFont="1">
      <alignment horizontal="right" vertical="bottom"/>
    </xf>
    <xf borderId="3" fillId="0" fontId="15" numFmtId="169" xfId="0" applyAlignment="1" applyBorder="1" applyFont="1" applyNumberFormat="1">
      <alignment horizontal="right" readingOrder="0" vertical="bottom"/>
    </xf>
    <xf borderId="10" fillId="14" fontId="32" numFmtId="0" xfId="0" applyAlignment="1" applyBorder="1" applyFont="1">
      <alignment horizontal="center" readingOrder="0"/>
    </xf>
    <xf borderId="6" fillId="0" fontId="15" numFmtId="170" xfId="0" applyAlignment="1" applyBorder="1" applyFont="1" applyNumberFormat="1">
      <alignment readingOrder="0" vertical="bottom"/>
    </xf>
    <xf borderId="12" fillId="0" fontId="29" numFmtId="0" xfId="0" applyAlignment="1" applyBorder="1" applyFont="1">
      <alignment horizontal="right" readingOrder="0" shrinkToFit="0" vertical="bottom" wrapText="0"/>
    </xf>
    <xf borderId="12" fillId="0" fontId="29" numFmtId="167" xfId="0" applyAlignment="1" applyBorder="1" applyFont="1" applyNumberFormat="1">
      <alignment readingOrder="0" shrinkToFit="0" vertical="bottom" wrapText="0"/>
    </xf>
    <xf borderId="12" fillId="0" fontId="29" numFmtId="0" xfId="0" applyAlignment="1" applyBorder="1" applyFont="1">
      <alignment readingOrder="0" shrinkToFit="0" vertical="bottom" wrapText="0"/>
    </xf>
    <xf borderId="12" fillId="0" fontId="29" numFmtId="165" xfId="0" applyAlignment="1" applyBorder="1" applyFont="1" applyNumberFormat="1">
      <alignment readingOrder="0" shrinkToFit="0" vertical="bottom" wrapText="0"/>
    </xf>
    <xf borderId="12" fillId="0" fontId="28" numFmtId="0" xfId="0" applyAlignment="1" applyBorder="1" applyFont="1">
      <alignment shrinkToFit="0" vertical="bottom" wrapText="0"/>
    </xf>
    <xf borderId="12" fillId="0" fontId="1" numFmtId="0" xfId="0" applyBorder="1" applyFont="1"/>
    <xf borderId="0" fillId="0" fontId="29" numFmtId="0" xfId="0" applyAlignment="1" applyFont="1">
      <alignment horizontal="right" readingOrder="0" shrinkToFit="0" vertical="bottom" wrapText="0"/>
    </xf>
    <xf borderId="3" fillId="0" fontId="40" numFmtId="0" xfId="0" applyAlignment="1" applyBorder="1" applyFont="1">
      <alignment horizontal="center" readingOrder="0" vertical="bottom"/>
    </xf>
    <xf borderId="0" fillId="14" fontId="33" numFmtId="0" xfId="0" applyAlignment="1" applyFont="1">
      <alignment horizontal="center" readingOrder="0"/>
    </xf>
    <xf borderId="3" fillId="0" fontId="1" numFmtId="10" xfId="0" applyBorder="1" applyFont="1" applyNumberFormat="1"/>
    <xf borderId="6" fillId="0" fontId="15" numFmtId="171" xfId="0" applyAlignment="1" applyBorder="1" applyFont="1" applyNumberFormat="1">
      <alignment vertical="bottom"/>
    </xf>
    <xf borderId="3" fillId="0" fontId="2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vertical="center"/>
    </xf>
    <xf borderId="7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3" fillId="7" fontId="16" numFmtId="0" xfId="0" applyAlignment="1" applyBorder="1" applyFont="1">
      <alignment horizontal="center" readingOrder="0"/>
    </xf>
    <xf borderId="3" fillId="14" fontId="17" numFmtId="0" xfId="0" applyAlignment="1" applyBorder="1" applyFont="1">
      <alignment horizontal="center" readingOrder="0"/>
    </xf>
    <xf borderId="3" fillId="7" fontId="19" numFmtId="0" xfId="0" applyAlignment="1" applyBorder="1" applyFont="1">
      <alignment horizontal="center" readingOrder="0" shrinkToFit="0" vertical="bottom" wrapText="0"/>
    </xf>
    <xf borderId="11" fillId="14" fontId="8" numFmtId="0" xfId="0" applyAlignment="1" applyBorder="1" applyFont="1">
      <alignment horizontal="center"/>
    </xf>
    <xf borderId="8" fillId="11" fontId="20" numFmtId="165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/>
    </xf>
  </cellXfs>
  <cellStyles count="1">
    <cellStyle xfId="0" name="Normal" builtinId="0"/>
  </cellStyles>
  <dxfs count="13">
    <dxf>
      <font>
        <color theme="7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  <i/>
        <u/>
      </font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eheux Jahlane" id="{d5422270-296a-4108-8983-cf389b8c975e}" providerId="google-sheets"/>
  <x18tc:person displayName="Enzo Ouali" id="{eecf49eb-2eb3-4e6f-9094-685f48d059b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3" dT="2026-04-03T07:36:25.00" personId="{eecf49eb-2eb3-4e6f-9094-685f48d059b5}" id="{069b04a4-cb41-46b3-be9e-c2a63faba2a4}" done="0">
    <x18tc:text xml:space="preserve">taux charges réel "102.5%"
Attention To = 4 heures</x18tc:text>
  </x18tc:threadedComment>
  <x18tc:threadedComment ref="I5" dT="2026-04-01T08:32:25.00" personId="{d5422270-296a-4108-8983-cf389b8c975e}" id="{dea64be5-358e-41c1-a565-d2dff032ee75}" done="0">
    <x18tc:text xml:space="preserve">Pour le calcul de la charge en minutes ne pas oublier d'y ajouter le temps de préparation disponible dans les documents sur le réseaux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4" width="15.75"/>
    <col customWidth="1" min="5" max="5" width="16.5"/>
    <col customWidth="1" min="6" max="6" width="16.63"/>
    <col customWidth="1" min="7" max="7" width="18.13"/>
    <col customWidth="1" min="8" max="8" width="23.13"/>
    <col customWidth="1" min="9" max="9" width="17.63"/>
    <col customWidth="1" min="10" max="11" width="18.25"/>
    <col customWidth="1" min="12" max="12" width="14.38"/>
    <col customWidth="1" min="13" max="13" width="22.13"/>
    <col customWidth="1" min="14" max="14" width="2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6" t="s">
        <v>7</v>
      </c>
      <c r="I5" s="6" t="s">
        <v>8</v>
      </c>
      <c r="J5" s="7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1.0</v>
      </c>
      <c r="B6" s="8" t="s">
        <v>14</v>
      </c>
      <c r="C6" s="9">
        <v>10.0</v>
      </c>
      <c r="D6" s="10" t="s">
        <v>15</v>
      </c>
      <c r="E6" s="10" t="s">
        <v>16</v>
      </c>
      <c r="F6" s="10" t="s">
        <v>17</v>
      </c>
      <c r="G6" s="10" t="s">
        <v>18</v>
      </c>
      <c r="H6" s="11">
        <v>31.0</v>
      </c>
      <c r="I6" s="11">
        <v>196.84</v>
      </c>
      <c r="J6" s="12">
        <f t="shared" ref="J6:J9" si="1">I6/1080</f>
        <v>0.1822592593</v>
      </c>
      <c r="K6" s="11">
        <v>6.258</v>
      </c>
      <c r="L6" s="11">
        <v>4.32</v>
      </c>
      <c r="M6" s="13" t="s">
        <v>19</v>
      </c>
      <c r="N6" s="1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1.0</v>
      </c>
      <c r="B7" s="15" t="s">
        <v>14</v>
      </c>
      <c r="C7" s="16">
        <v>15.0</v>
      </c>
      <c r="D7" s="17" t="s">
        <v>15</v>
      </c>
      <c r="E7" s="17" t="s">
        <v>20</v>
      </c>
      <c r="F7" s="18" t="s">
        <v>21</v>
      </c>
      <c r="G7" s="19" t="s">
        <v>22</v>
      </c>
      <c r="H7" s="11">
        <v>30.0</v>
      </c>
      <c r="I7" s="11">
        <v>197.6</v>
      </c>
      <c r="J7" s="12">
        <f t="shared" si="1"/>
        <v>0.182962963</v>
      </c>
      <c r="K7" s="11">
        <v>11.5</v>
      </c>
      <c r="L7" s="11">
        <v>6.6</v>
      </c>
      <c r="M7" s="13" t="s">
        <v>17</v>
      </c>
      <c r="N7" s="1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1">
        <v>1.0</v>
      </c>
      <c r="B8" s="15" t="s">
        <v>14</v>
      </c>
      <c r="C8" s="16">
        <v>20.0</v>
      </c>
      <c r="D8" s="17" t="s">
        <v>15</v>
      </c>
      <c r="E8" s="17" t="s">
        <v>20</v>
      </c>
      <c r="F8" s="20" t="s">
        <v>23</v>
      </c>
      <c r="G8" s="21" t="s">
        <v>24</v>
      </c>
      <c r="H8" s="11">
        <v>25.0</v>
      </c>
      <c r="I8" s="11">
        <v>208.19</v>
      </c>
      <c r="J8" s="12">
        <f t="shared" si="1"/>
        <v>0.1927685185</v>
      </c>
      <c r="K8" s="11">
        <v>8.66</v>
      </c>
      <c r="L8" s="11">
        <v>5.52</v>
      </c>
      <c r="M8" s="22" t="s">
        <v>25</v>
      </c>
      <c r="N8" s="23" t="s">
        <v>26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1.0</v>
      </c>
      <c r="B9" s="15" t="s">
        <v>14</v>
      </c>
      <c r="C9" s="16">
        <v>30.0</v>
      </c>
      <c r="D9" s="24" t="s">
        <v>27</v>
      </c>
      <c r="E9" s="25" t="s">
        <v>28</v>
      </c>
      <c r="F9" s="21" t="s">
        <v>29</v>
      </c>
      <c r="G9" s="17" t="s">
        <v>30</v>
      </c>
      <c r="H9" s="11">
        <v>22.0</v>
      </c>
      <c r="I9" s="26">
        <v>384.0</v>
      </c>
      <c r="J9" s="27">
        <f t="shared" si="1"/>
        <v>0.3555555556</v>
      </c>
      <c r="K9" s="11">
        <v>10.95</v>
      </c>
      <c r="L9" s="26">
        <v>15.5</v>
      </c>
      <c r="M9" s="28" t="s">
        <v>31</v>
      </c>
      <c r="N9" s="29" t="s">
        <v>32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5" t="s">
        <v>33</v>
      </c>
      <c r="C10" s="16">
        <v>20.0</v>
      </c>
      <c r="D10" s="30"/>
      <c r="E10" s="30"/>
      <c r="F10" s="21" t="s">
        <v>29</v>
      </c>
      <c r="G10" s="17" t="s">
        <v>30</v>
      </c>
      <c r="H10" s="11">
        <v>19.0</v>
      </c>
      <c r="I10" s="31"/>
      <c r="J10" s="31"/>
      <c r="K10" s="11">
        <v>8.75</v>
      </c>
      <c r="L10" s="31"/>
      <c r="M10" s="30"/>
      <c r="N10" s="3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">
        <v>1.0</v>
      </c>
      <c r="B11" s="15" t="s">
        <v>14</v>
      </c>
      <c r="C11" s="16">
        <v>40.0</v>
      </c>
      <c r="D11" s="24" t="s">
        <v>27</v>
      </c>
      <c r="E11" s="25" t="s">
        <v>34</v>
      </c>
      <c r="F11" s="21" t="s">
        <v>25</v>
      </c>
      <c r="G11" s="17" t="s">
        <v>31</v>
      </c>
      <c r="H11" s="11">
        <v>22.0</v>
      </c>
      <c r="I11" s="26">
        <v>451.0</v>
      </c>
      <c r="J11" s="27">
        <f>I11/1080</f>
        <v>0.4175925926</v>
      </c>
      <c r="K11" s="26">
        <v>20.5</v>
      </c>
      <c r="L11" s="24">
        <v>13.54</v>
      </c>
      <c r="M11" s="28" t="s">
        <v>35</v>
      </c>
      <c r="N11" s="29" t="s">
        <v>36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B12" s="15" t="s">
        <v>33</v>
      </c>
      <c r="C12" s="16">
        <v>30.0</v>
      </c>
      <c r="D12" s="30"/>
      <c r="E12" s="30"/>
      <c r="F12" s="21" t="s">
        <v>25</v>
      </c>
      <c r="G12" s="17" t="s">
        <v>31</v>
      </c>
      <c r="H12" s="11">
        <v>19.0</v>
      </c>
      <c r="I12" s="31"/>
      <c r="J12" s="31"/>
      <c r="K12" s="31"/>
      <c r="L12" s="30"/>
      <c r="M12" s="30"/>
      <c r="N12" s="3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5" t="s">
        <v>14</v>
      </c>
      <c r="C13" s="16">
        <v>50.0</v>
      </c>
      <c r="D13" s="17" t="s">
        <v>37</v>
      </c>
      <c r="E13" s="17" t="s">
        <v>38</v>
      </c>
      <c r="F13" s="17" t="s">
        <v>39</v>
      </c>
      <c r="G13" s="17" t="s">
        <v>17</v>
      </c>
      <c r="H13" s="11">
        <v>19.0</v>
      </c>
      <c r="I13" s="11">
        <v>144.4</v>
      </c>
      <c r="J13" s="12">
        <f t="shared" ref="J13:J15" si="2">I13/1080</f>
        <v>0.1337037037</v>
      </c>
      <c r="K13" s="11">
        <v>7.4</v>
      </c>
      <c r="L13" s="11">
        <v>3.86</v>
      </c>
      <c r="M13" s="22"/>
      <c r="N13" s="1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5" t="s">
        <v>14</v>
      </c>
      <c r="C14" s="16">
        <v>60.0</v>
      </c>
      <c r="D14" s="17" t="s">
        <v>40</v>
      </c>
      <c r="E14" s="17" t="s">
        <v>41</v>
      </c>
      <c r="F14" s="32" t="s">
        <v>42</v>
      </c>
      <c r="G14" s="17" t="s">
        <v>35</v>
      </c>
      <c r="H14" s="11">
        <v>19.0</v>
      </c>
      <c r="I14" s="11">
        <v>163.76</v>
      </c>
      <c r="J14" s="12">
        <f t="shared" si="2"/>
        <v>0.1516296296</v>
      </c>
      <c r="K14" s="11">
        <v>7.04</v>
      </c>
      <c r="L14" s="11">
        <v>4.75</v>
      </c>
      <c r="M14" s="33"/>
      <c r="N14" s="1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2.0</v>
      </c>
      <c r="B15" s="15" t="s">
        <v>33</v>
      </c>
      <c r="C15" s="16">
        <v>0.0</v>
      </c>
      <c r="D15" s="17" t="s">
        <v>43</v>
      </c>
      <c r="E15" s="17" t="s">
        <v>44</v>
      </c>
      <c r="F15" s="34" t="s">
        <v>42</v>
      </c>
      <c r="G15" s="17" t="s">
        <v>22</v>
      </c>
      <c r="H15" s="11">
        <v>23.0</v>
      </c>
      <c r="I15" s="11">
        <v>227.86</v>
      </c>
      <c r="J15" s="12">
        <f t="shared" si="2"/>
        <v>0.2109814815</v>
      </c>
      <c r="K15" s="11">
        <v>15.6</v>
      </c>
      <c r="L15" s="11">
        <v>10.0</v>
      </c>
      <c r="M15" s="35" t="s">
        <v>45</v>
      </c>
      <c r="N15" s="1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15" t="s">
        <v>33</v>
      </c>
      <c r="C16" s="16">
        <v>10.0</v>
      </c>
      <c r="D16" s="21" t="s">
        <v>15</v>
      </c>
      <c r="E16" s="21" t="s">
        <v>20</v>
      </c>
      <c r="F16" s="17" t="s">
        <v>46</v>
      </c>
      <c r="G16" s="36" t="s">
        <v>42</v>
      </c>
      <c r="H16" s="36"/>
      <c r="I16" s="36"/>
      <c r="J16" s="36"/>
      <c r="K16" s="36"/>
      <c r="L16" s="36"/>
      <c r="M16" s="36"/>
      <c r="N16" s="37" t="s">
        <v>47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5" t="s">
        <v>33</v>
      </c>
      <c r="C17" s="16">
        <v>40.0</v>
      </c>
      <c r="D17" s="17" t="s">
        <v>40</v>
      </c>
      <c r="E17" s="17" t="s">
        <v>41</v>
      </c>
      <c r="F17" s="32" t="s">
        <v>42</v>
      </c>
      <c r="G17" s="17" t="s">
        <v>35</v>
      </c>
      <c r="H17" s="11">
        <v>19.0</v>
      </c>
      <c r="I17" s="11">
        <v>67.0</v>
      </c>
      <c r="J17" s="12">
        <f t="shared" ref="J17:J34" si="3">I17/1080</f>
        <v>0.06203703704</v>
      </c>
      <c r="K17" s="11">
        <v>2.25</v>
      </c>
      <c r="L17" s="11">
        <v>3.0</v>
      </c>
      <c r="M17" s="33"/>
      <c r="N17" s="1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2.0</v>
      </c>
      <c r="B18" s="15" t="s">
        <v>48</v>
      </c>
      <c r="C18" s="16">
        <v>10.0</v>
      </c>
      <c r="D18" s="17" t="s">
        <v>49</v>
      </c>
      <c r="E18" s="17" t="s">
        <v>50</v>
      </c>
      <c r="F18" s="17" t="s">
        <v>31</v>
      </c>
      <c r="G18" s="17" t="s">
        <v>25</v>
      </c>
      <c r="H18" s="11">
        <v>48.0</v>
      </c>
      <c r="I18" s="11">
        <f>48*K18</f>
        <v>840</v>
      </c>
      <c r="J18" s="12">
        <f t="shared" si="3"/>
        <v>0.7777777778</v>
      </c>
      <c r="K18" s="11">
        <v>17.5</v>
      </c>
      <c r="L18" s="11">
        <v>14.1</v>
      </c>
      <c r="M18" s="38" t="s">
        <v>51</v>
      </c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5" t="s">
        <v>48</v>
      </c>
      <c r="C19" s="16">
        <v>20.0</v>
      </c>
      <c r="D19" s="17" t="s">
        <v>15</v>
      </c>
      <c r="E19" s="17" t="s">
        <v>20</v>
      </c>
      <c r="F19" s="17" t="s">
        <v>22</v>
      </c>
      <c r="G19" s="17" t="s">
        <v>52</v>
      </c>
      <c r="H19" s="11">
        <v>40.0</v>
      </c>
      <c r="I19" s="11">
        <v>377.0</v>
      </c>
      <c r="J19" s="12">
        <f t="shared" si="3"/>
        <v>0.3490740741</v>
      </c>
      <c r="K19" s="11">
        <v>9.42</v>
      </c>
      <c r="L19" s="11">
        <v>6.71</v>
      </c>
      <c r="M19" s="39"/>
      <c r="N19" s="1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1.0</v>
      </c>
      <c r="B20" s="15" t="s">
        <v>53</v>
      </c>
      <c r="C20" s="16">
        <v>10.0</v>
      </c>
      <c r="D20" s="17" t="s">
        <v>54</v>
      </c>
      <c r="E20" s="17" t="s">
        <v>55</v>
      </c>
      <c r="F20" s="17" t="s">
        <v>18</v>
      </c>
      <c r="G20" s="17" t="s">
        <v>56</v>
      </c>
      <c r="H20" s="11">
        <v>40.0</v>
      </c>
      <c r="I20" s="11">
        <v>223.41</v>
      </c>
      <c r="J20" s="12">
        <f t="shared" si="3"/>
        <v>0.2068611111</v>
      </c>
      <c r="K20" s="11">
        <v>5.58</v>
      </c>
      <c r="L20" s="11">
        <v>4.18</v>
      </c>
      <c r="M20" s="22" t="s">
        <v>39</v>
      </c>
      <c r="N20" s="1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">
        <v>1.0</v>
      </c>
      <c r="B21" s="15" t="s">
        <v>53</v>
      </c>
      <c r="C21" s="16">
        <v>20.0</v>
      </c>
      <c r="D21" s="17" t="s">
        <v>54</v>
      </c>
      <c r="E21" s="17" t="s">
        <v>55</v>
      </c>
      <c r="F21" s="17" t="s">
        <v>35</v>
      </c>
      <c r="G21" s="18" t="s">
        <v>23</v>
      </c>
      <c r="H21" s="11">
        <v>40.0</v>
      </c>
      <c r="I21" s="11">
        <v>410.63</v>
      </c>
      <c r="J21" s="12">
        <f t="shared" si="3"/>
        <v>0.380212963</v>
      </c>
      <c r="K21" s="11">
        <v>10.27</v>
      </c>
      <c r="L21" s="11">
        <v>5.77</v>
      </c>
      <c r="M21" s="38" t="s">
        <v>23</v>
      </c>
      <c r="N21" s="1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1.0</v>
      </c>
      <c r="B22" s="15" t="s">
        <v>53</v>
      </c>
      <c r="C22" s="16">
        <v>30.0</v>
      </c>
      <c r="D22" s="17" t="s">
        <v>37</v>
      </c>
      <c r="E22" s="17" t="s">
        <v>57</v>
      </c>
      <c r="F22" s="17" t="s">
        <v>58</v>
      </c>
      <c r="G22" s="10" t="s">
        <v>59</v>
      </c>
      <c r="H22" s="11">
        <v>40.0</v>
      </c>
      <c r="I22" s="11">
        <v>1068.0</v>
      </c>
      <c r="J22" s="12">
        <f t="shared" si="3"/>
        <v>0.9888888889</v>
      </c>
      <c r="K22" s="11">
        <v>24.45</v>
      </c>
      <c r="L22" s="11">
        <v>17.42</v>
      </c>
      <c r="M22" s="38" t="s">
        <v>60</v>
      </c>
      <c r="N22" s="11" t="s">
        <v>61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2.0</v>
      </c>
      <c r="B23" s="15" t="s">
        <v>62</v>
      </c>
      <c r="C23" s="16">
        <v>0.0</v>
      </c>
      <c r="D23" s="17" t="s">
        <v>63</v>
      </c>
      <c r="E23" s="17" t="s">
        <v>63</v>
      </c>
      <c r="F23" s="34" t="s">
        <v>42</v>
      </c>
      <c r="G23" s="17" t="s">
        <v>18</v>
      </c>
      <c r="H23" s="11">
        <v>26.0</v>
      </c>
      <c r="I23" s="11">
        <v>246.0</v>
      </c>
      <c r="J23" s="12">
        <f t="shared" si="3"/>
        <v>0.2277777778</v>
      </c>
      <c r="K23" s="11">
        <v>12.03</v>
      </c>
      <c r="L23" s="11">
        <v>6.0</v>
      </c>
      <c r="M23" s="40" t="s">
        <v>64</v>
      </c>
      <c r="N23" s="1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5" t="s">
        <v>62</v>
      </c>
      <c r="C24" s="16">
        <v>10.0</v>
      </c>
      <c r="D24" s="17" t="s">
        <v>65</v>
      </c>
      <c r="E24" s="17" t="s">
        <v>66</v>
      </c>
      <c r="F24" s="32" t="s">
        <v>42</v>
      </c>
      <c r="G24" s="21" t="s">
        <v>58</v>
      </c>
      <c r="H24" s="11">
        <v>24.0</v>
      </c>
      <c r="I24" s="11">
        <v>46.08</v>
      </c>
      <c r="J24" s="12">
        <f t="shared" si="3"/>
        <v>0.04266666667</v>
      </c>
      <c r="K24" s="11">
        <v>0.67</v>
      </c>
      <c r="L24" s="11">
        <v>0.67</v>
      </c>
      <c r="M24" s="31"/>
      <c r="N24" s="1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1.0</v>
      </c>
      <c r="B25" s="15" t="s">
        <v>62</v>
      </c>
      <c r="C25" s="16">
        <v>20.0</v>
      </c>
      <c r="D25" s="17" t="s">
        <v>54</v>
      </c>
      <c r="E25" s="17" t="s">
        <v>55</v>
      </c>
      <c r="F25" s="17" t="s">
        <v>24</v>
      </c>
      <c r="G25" s="21" t="s">
        <v>58</v>
      </c>
      <c r="H25" s="11">
        <v>24.0</v>
      </c>
      <c r="I25" s="11">
        <v>289.2</v>
      </c>
      <c r="J25" s="12">
        <f t="shared" si="3"/>
        <v>0.2677777778</v>
      </c>
      <c r="K25" s="11">
        <v>4.5</v>
      </c>
      <c r="L25" s="11">
        <v>4.59</v>
      </c>
      <c r="M25" s="35" t="s">
        <v>46</v>
      </c>
      <c r="N25" s="1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1.0</v>
      </c>
      <c r="B26" s="15" t="s">
        <v>62</v>
      </c>
      <c r="C26" s="16">
        <v>30.0</v>
      </c>
      <c r="D26" s="17" t="s">
        <v>54</v>
      </c>
      <c r="E26" s="17" t="s">
        <v>55</v>
      </c>
      <c r="F26" s="17" t="s">
        <v>67</v>
      </c>
      <c r="G26" s="17" t="s">
        <v>46</v>
      </c>
      <c r="H26" s="11">
        <v>20.0</v>
      </c>
      <c r="I26" s="11">
        <v>385.2</v>
      </c>
      <c r="J26" s="12">
        <f t="shared" si="3"/>
        <v>0.3566666667</v>
      </c>
      <c r="K26" s="11">
        <v>19.26</v>
      </c>
      <c r="L26" s="11">
        <v>13.47</v>
      </c>
      <c r="M26" s="33" t="s">
        <v>29</v>
      </c>
      <c r="N26" s="1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5" t="s">
        <v>62</v>
      </c>
      <c r="C27" s="16">
        <v>40.0</v>
      </c>
      <c r="D27" s="17" t="s">
        <v>54</v>
      </c>
      <c r="E27" s="17" t="s">
        <v>55</v>
      </c>
      <c r="F27" s="17" t="s">
        <v>67</v>
      </c>
      <c r="G27" s="17" t="s">
        <v>35</v>
      </c>
      <c r="H27" s="11">
        <v>19.0</v>
      </c>
      <c r="I27" s="11">
        <v>136.0</v>
      </c>
      <c r="J27" s="12">
        <f t="shared" si="3"/>
        <v>0.1259259259</v>
      </c>
      <c r="K27" s="11">
        <v>4.0</v>
      </c>
      <c r="L27" s="11">
        <v>3.5</v>
      </c>
      <c r="M27" s="13"/>
      <c r="N27" s="1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1.0</v>
      </c>
      <c r="B28" s="15" t="s">
        <v>68</v>
      </c>
      <c r="C28" s="16">
        <v>20.0</v>
      </c>
      <c r="D28" s="17" t="s">
        <v>54</v>
      </c>
      <c r="E28" s="17" t="s">
        <v>69</v>
      </c>
      <c r="F28" s="17" t="s">
        <v>59</v>
      </c>
      <c r="G28" s="17" t="s">
        <v>39</v>
      </c>
      <c r="H28" s="11">
        <v>72.0</v>
      </c>
      <c r="I28" s="11">
        <v>482.4</v>
      </c>
      <c r="J28" s="12">
        <f t="shared" si="3"/>
        <v>0.4466666667</v>
      </c>
      <c r="K28" s="11">
        <v>6.7</v>
      </c>
      <c r="L28" s="11">
        <v>5.0</v>
      </c>
      <c r="M28" s="13" t="s">
        <v>58</v>
      </c>
      <c r="N28" s="1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1.0</v>
      </c>
      <c r="B29" s="15" t="s">
        <v>68</v>
      </c>
      <c r="C29" s="16">
        <v>30.0</v>
      </c>
      <c r="D29" s="17" t="s">
        <v>54</v>
      </c>
      <c r="E29" s="17" t="s">
        <v>55</v>
      </c>
      <c r="F29" s="17" t="s">
        <v>59</v>
      </c>
      <c r="G29" s="17" t="s">
        <v>39</v>
      </c>
      <c r="H29" s="11">
        <v>72.0</v>
      </c>
      <c r="I29" s="11">
        <v>452.8</v>
      </c>
      <c r="J29" s="12">
        <f t="shared" si="3"/>
        <v>0.4192592593</v>
      </c>
      <c r="K29" s="11">
        <v>6.29</v>
      </c>
      <c r="L29" s="11">
        <v>4.72</v>
      </c>
      <c r="M29" s="22" t="s">
        <v>59</v>
      </c>
      <c r="N29" s="1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1.0</v>
      </c>
      <c r="B30" s="15" t="s">
        <v>68</v>
      </c>
      <c r="C30" s="16">
        <v>40.0</v>
      </c>
      <c r="D30" s="17" t="s">
        <v>54</v>
      </c>
      <c r="E30" s="17" t="s">
        <v>55</v>
      </c>
      <c r="F30" s="17" t="s">
        <v>60</v>
      </c>
      <c r="G30" s="17" t="s">
        <v>29</v>
      </c>
      <c r="H30" s="11">
        <v>64.0</v>
      </c>
      <c r="I30" s="11">
        <v>757.8</v>
      </c>
      <c r="J30" s="12">
        <f t="shared" si="3"/>
        <v>0.7016666667</v>
      </c>
      <c r="K30" s="11">
        <v>11.84</v>
      </c>
      <c r="L30" s="11">
        <v>7.99</v>
      </c>
      <c r="M30" s="38" t="s">
        <v>22</v>
      </c>
      <c r="N30" s="1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5" t="s">
        <v>68</v>
      </c>
      <c r="C31" s="16">
        <v>50.0</v>
      </c>
      <c r="D31" s="17" t="s">
        <v>70</v>
      </c>
      <c r="E31" s="17" t="s">
        <v>71</v>
      </c>
      <c r="F31" s="34" t="s">
        <v>42</v>
      </c>
      <c r="G31" s="17" t="s">
        <v>52</v>
      </c>
      <c r="H31" s="11">
        <v>57.0</v>
      </c>
      <c r="I31" s="11">
        <v>421.0</v>
      </c>
      <c r="J31" s="12">
        <f t="shared" si="3"/>
        <v>0.3898148148</v>
      </c>
      <c r="K31" s="11">
        <v>4.1</v>
      </c>
      <c r="L31" s="11">
        <v>3.04</v>
      </c>
      <c r="M31" s="33"/>
      <c r="N31" s="1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5" t="s">
        <v>72</v>
      </c>
      <c r="C32" s="16">
        <v>10.0</v>
      </c>
      <c r="D32" s="17" t="s">
        <v>49</v>
      </c>
      <c r="E32" s="17" t="s">
        <v>73</v>
      </c>
      <c r="F32" s="17" t="s">
        <v>74</v>
      </c>
      <c r="G32" s="21" t="s">
        <v>60</v>
      </c>
      <c r="H32" s="11">
        <v>23.0</v>
      </c>
      <c r="I32" s="41">
        <v>405.2</v>
      </c>
      <c r="J32" s="12">
        <f t="shared" si="3"/>
        <v>0.3751851852</v>
      </c>
      <c r="K32" s="41">
        <v>12.4</v>
      </c>
      <c r="L32" s="11">
        <v>7.51</v>
      </c>
      <c r="M32" s="35"/>
      <c r="N32" s="1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5" t="s">
        <v>72</v>
      </c>
      <c r="C33" s="16">
        <v>20.0</v>
      </c>
      <c r="D33" s="17" t="s">
        <v>49</v>
      </c>
      <c r="E33" s="17" t="s">
        <v>75</v>
      </c>
      <c r="F33" s="21" t="s">
        <v>56</v>
      </c>
      <c r="G33" s="42" t="s">
        <v>76</v>
      </c>
      <c r="H33" s="11">
        <v>20.0</v>
      </c>
      <c r="I33" s="11">
        <v>450.0</v>
      </c>
      <c r="J33" s="12">
        <f t="shared" si="3"/>
        <v>0.4166666667</v>
      </c>
      <c r="K33" s="11">
        <v>11.25</v>
      </c>
      <c r="L33" s="11">
        <v>7.22</v>
      </c>
      <c r="M33" s="35"/>
      <c r="N33" s="1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5" t="s">
        <v>77</v>
      </c>
      <c r="C34" s="16">
        <v>10.0</v>
      </c>
      <c r="D34" s="17" t="s">
        <v>49</v>
      </c>
      <c r="E34" s="17" t="s">
        <v>78</v>
      </c>
      <c r="F34" s="17" t="s">
        <v>30</v>
      </c>
      <c r="G34" s="17" t="s">
        <v>74</v>
      </c>
      <c r="H34" s="11">
        <v>76.0</v>
      </c>
      <c r="I34" s="43">
        <f>120+(431.4378817/60)
</f>
        <v>127.1906314</v>
      </c>
      <c r="J34" s="12">
        <f t="shared" si="3"/>
        <v>0.1177691031</v>
      </c>
      <c r="K34" s="43">
        <v>7.385888889</v>
      </c>
      <c r="L34" s="44">
        <v>5.539416667</v>
      </c>
      <c r="M34" s="35"/>
      <c r="N34" s="1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4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6"/>
      <c r="C41" s="47"/>
      <c r="D41" s="47"/>
      <c r="E41" s="47"/>
      <c r="F41" s="47"/>
      <c r="G41" s="47"/>
      <c r="H41" s="1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8"/>
      <c r="C42" s="49"/>
      <c r="D42" s="10"/>
      <c r="E42" s="10"/>
      <c r="F42" s="10"/>
      <c r="G42" s="10"/>
      <c r="H42" s="1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50"/>
      <c r="C43" s="51"/>
      <c r="D43" s="17"/>
      <c r="E43" s="17"/>
      <c r="F43" s="18"/>
      <c r="G43" s="19"/>
      <c r="H43" s="1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50"/>
      <c r="C44" s="51"/>
      <c r="D44" s="17"/>
      <c r="E44" s="17"/>
      <c r="F44" s="10"/>
      <c r="G44" s="17"/>
      <c r="H44" s="1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50"/>
      <c r="C45" s="51"/>
      <c r="D45" s="24"/>
      <c r="E45" s="25"/>
      <c r="F45" s="17"/>
      <c r="G45" s="17"/>
      <c r="H45" s="2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50"/>
      <c r="C46" s="51"/>
      <c r="D46" s="30"/>
      <c r="E46" s="30"/>
      <c r="F46" s="17"/>
      <c r="G46" s="17"/>
      <c r="H46" s="3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50"/>
      <c r="C47" s="51"/>
      <c r="D47" s="24"/>
      <c r="E47" s="25"/>
      <c r="F47" s="17"/>
      <c r="G47" s="17"/>
      <c r="H47" s="2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50"/>
      <c r="C48" s="51"/>
      <c r="D48" s="30"/>
      <c r="E48" s="30"/>
      <c r="F48" s="17"/>
      <c r="G48" s="17"/>
      <c r="H48" s="3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50"/>
      <c r="C49" s="51"/>
      <c r="D49" s="17"/>
      <c r="E49" s="17"/>
      <c r="F49" s="17"/>
      <c r="G49" s="17"/>
      <c r="H49" s="1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50"/>
      <c r="C50" s="51"/>
      <c r="D50" s="17"/>
      <c r="E50" s="17"/>
      <c r="F50" s="52"/>
      <c r="G50" s="17"/>
      <c r="H50" s="1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50"/>
      <c r="C51" s="51"/>
      <c r="D51" s="17"/>
      <c r="E51" s="17"/>
      <c r="F51" s="52"/>
      <c r="G51" s="17"/>
      <c r="H51" s="1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50"/>
      <c r="C52" s="51"/>
      <c r="D52" s="17"/>
      <c r="E52" s="17"/>
      <c r="F52" s="17"/>
      <c r="G52" s="17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50"/>
      <c r="C53" s="51"/>
      <c r="D53" s="17"/>
      <c r="E53" s="17"/>
      <c r="F53" s="52"/>
      <c r="G53" s="17"/>
      <c r="H53" s="1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50"/>
      <c r="C54" s="51"/>
      <c r="D54" s="17"/>
      <c r="E54" s="17"/>
      <c r="F54" s="17"/>
      <c r="G54" s="17"/>
      <c r="H54" s="1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50"/>
      <c r="C55" s="51"/>
      <c r="D55" s="17"/>
      <c r="E55" s="17"/>
      <c r="F55" s="17"/>
      <c r="G55" s="17"/>
      <c r="H55" s="4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50"/>
      <c r="C56" s="51"/>
      <c r="D56" s="17"/>
      <c r="E56" s="17"/>
      <c r="F56" s="17"/>
      <c r="G56" s="17"/>
      <c r="H56" s="1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50"/>
      <c r="C57" s="51"/>
      <c r="D57" s="17"/>
      <c r="E57" s="17"/>
      <c r="F57" s="17"/>
      <c r="G57" s="18"/>
      <c r="H57" s="1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50"/>
      <c r="C58" s="51"/>
      <c r="D58" s="17"/>
      <c r="E58" s="17"/>
      <c r="F58" s="17"/>
      <c r="G58" s="10"/>
      <c r="H58" s="1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50"/>
      <c r="C59" s="51"/>
      <c r="D59" s="17"/>
      <c r="E59" s="17"/>
      <c r="F59" s="52"/>
      <c r="G59" s="17"/>
      <c r="H59" s="1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50"/>
      <c r="C60" s="51"/>
      <c r="D60" s="17"/>
      <c r="E60" s="17"/>
      <c r="F60" s="52"/>
      <c r="G60" s="17"/>
      <c r="H60" s="1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50"/>
      <c r="C61" s="51"/>
      <c r="D61" s="17"/>
      <c r="E61" s="17"/>
      <c r="F61" s="17"/>
      <c r="G61" s="17"/>
      <c r="H61" s="1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50"/>
      <c r="C62" s="51"/>
      <c r="D62" s="17"/>
      <c r="E62" s="17"/>
      <c r="F62" s="17"/>
      <c r="G62" s="17"/>
      <c r="H62" s="1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50"/>
      <c r="C63" s="51"/>
      <c r="D63" s="17"/>
      <c r="E63" s="17"/>
      <c r="F63" s="17"/>
      <c r="G63" s="17"/>
      <c r="H63" s="1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50"/>
      <c r="C64" s="51"/>
      <c r="D64" s="17"/>
      <c r="E64" s="17"/>
      <c r="F64" s="17"/>
      <c r="G64" s="17"/>
      <c r="H64" s="1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50"/>
      <c r="C65" s="51"/>
      <c r="D65" s="17"/>
      <c r="E65" s="17"/>
      <c r="F65" s="17"/>
      <c r="G65" s="17"/>
      <c r="H65" s="1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50"/>
      <c r="C66" s="51"/>
      <c r="D66" s="17"/>
      <c r="E66" s="17"/>
      <c r="F66" s="17"/>
      <c r="G66" s="17"/>
      <c r="H66" s="1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50"/>
      <c r="C67" s="51"/>
      <c r="D67" s="17"/>
      <c r="E67" s="17"/>
      <c r="F67" s="52"/>
      <c r="G67" s="17"/>
      <c r="H67" s="1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50"/>
      <c r="C68" s="51"/>
      <c r="D68" s="17"/>
      <c r="E68" s="17"/>
      <c r="F68" s="17"/>
      <c r="G68" s="17"/>
      <c r="H68" s="1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50"/>
      <c r="C69" s="51"/>
      <c r="D69" s="17"/>
      <c r="E69" s="17"/>
      <c r="F69" s="17"/>
      <c r="G69" s="42"/>
      <c r="H69" s="1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50"/>
      <c r="C70" s="51"/>
      <c r="D70" s="17"/>
      <c r="E70" s="17"/>
      <c r="F70" s="17"/>
      <c r="G70" s="42"/>
      <c r="H70" s="1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53" t="s">
        <v>1</v>
      </c>
      <c r="C89" s="54" t="s">
        <v>2</v>
      </c>
      <c r="D89" s="54" t="s">
        <v>3</v>
      </c>
      <c r="E89" s="55" t="s">
        <v>4</v>
      </c>
      <c r="F89" s="55" t="s">
        <v>5</v>
      </c>
      <c r="G89" s="55" t="s">
        <v>6</v>
      </c>
      <c r="H89" s="56" t="s">
        <v>79</v>
      </c>
      <c r="I89" s="56" t="s">
        <v>80</v>
      </c>
      <c r="J89" s="57" t="s">
        <v>9</v>
      </c>
      <c r="K89" s="56" t="s">
        <v>10</v>
      </c>
      <c r="L89" s="56" t="s">
        <v>11</v>
      </c>
      <c r="M89" s="56" t="s">
        <v>12</v>
      </c>
      <c r="N89" s="56" t="s">
        <v>81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58" t="s">
        <v>68</v>
      </c>
      <c r="C90" s="59">
        <v>40.0</v>
      </c>
      <c r="D90" s="17" t="s">
        <v>54</v>
      </c>
      <c r="E90" s="17" t="s">
        <v>55</v>
      </c>
      <c r="F90" s="21" t="s">
        <v>82</v>
      </c>
      <c r="G90" s="17" t="s">
        <v>83</v>
      </c>
      <c r="H90" s="11">
        <v>69.0</v>
      </c>
      <c r="I90" s="11">
        <v>698.97</v>
      </c>
      <c r="J90" s="12">
        <f>I90/1080</f>
        <v>0.6471944444</v>
      </c>
      <c r="K90" s="11">
        <v>10.13</v>
      </c>
      <c r="L90" s="11">
        <v>8.13</v>
      </c>
      <c r="M90" s="17" t="s">
        <v>84</v>
      </c>
      <c r="N90" s="1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0" t="s">
        <v>2</v>
      </c>
      <c r="C94" s="61" t="s">
        <v>85</v>
      </c>
      <c r="D94" s="61" t="s">
        <v>86</v>
      </c>
      <c r="E94" s="62" t="s">
        <v>87</v>
      </c>
      <c r="F94" s="62" t="s">
        <v>88</v>
      </c>
      <c r="G94" s="62" t="s">
        <v>89</v>
      </c>
      <c r="H94" s="62" t="s">
        <v>90</v>
      </c>
      <c r="I94" s="61" t="s">
        <v>91</v>
      </c>
      <c r="J94" s="63" t="s">
        <v>92</v>
      </c>
      <c r="K94" s="64"/>
      <c r="L94" s="61" t="s">
        <v>93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5">
        <v>40.0</v>
      </c>
      <c r="C95" s="48" t="s">
        <v>94</v>
      </c>
      <c r="D95" s="66">
        <v>69.0</v>
      </c>
      <c r="E95" s="67">
        <v>88.0</v>
      </c>
      <c r="F95" s="11">
        <v>16.0</v>
      </c>
      <c r="G95" s="68">
        <v>0.8182</v>
      </c>
      <c r="H95" s="69">
        <v>0.78</v>
      </c>
      <c r="I95" s="70">
        <v>0.007615740740740741</v>
      </c>
      <c r="J95" s="71">
        <f>(D95-E95)*I95</f>
        <v>-0.1446990741</v>
      </c>
      <c r="K95" s="71" t="str">
        <f>IF(J95&gt;=$C$40,"retard","ok")</f>
        <v>ok</v>
      </c>
      <c r="L95" s="72">
        <f>E95/D95</f>
        <v>1.275362319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6">
    <mergeCell ref="D9:D10"/>
    <mergeCell ref="E9:E10"/>
    <mergeCell ref="I9:I10"/>
    <mergeCell ref="J9:J10"/>
    <mergeCell ref="L9:L10"/>
    <mergeCell ref="M9:M10"/>
    <mergeCell ref="N9:N10"/>
    <mergeCell ref="L11:L12"/>
    <mergeCell ref="M11:M12"/>
    <mergeCell ref="N11:N12"/>
    <mergeCell ref="J94:K94"/>
    <mergeCell ref="A23:A24"/>
    <mergeCell ref="M23:M24"/>
    <mergeCell ref="D45:D46"/>
    <mergeCell ref="E45:E46"/>
    <mergeCell ref="H45:H46"/>
    <mergeCell ref="D47:D48"/>
    <mergeCell ref="E47:E48"/>
    <mergeCell ref="H47:H48"/>
    <mergeCell ref="A9:A10"/>
    <mergeCell ref="A11:A12"/>
    <mergeCell ref="D11:D12"/>
    <mergeCell ref="E11:E12"/>
    <mergeCell ref="I11:I12"/>
    <mergeCell ref="J11:J12"/>
    <mergeCell ref="K11:K12"/>
  </mergeCells>
  <conditionalFormatting sqref="L95">
    <cfRule type="cellIs" dxfId="0" priority="1" operator="greaterThanOrEqual">
      <formula>1</formula>
    </cfRule>
  </conditionalFormatting>
  <conditionalFormatting sqref="G95">
    <cfRule type="cellIs" dxfId="1" priority="2" operator="lessThan">
      <formula>"50%"</formula>
    </cfRule>
  </conditionalFormatting>
  <conditionalFormatting sqref="K95">
    <cfRule type="cellIs" dxfId="2" priority="3" operator="equal">
      <formula>"ok"</formula>
    </cfRule>
  </conditionalFormatting>
  <conditionalFormatting sqref="K95">
    <cfRule type="cellIs" dxfId="3" priority="4" operator="equal">
      <formula>"retard"</formula>
    </cfRule>
  </conditionalFormatting>
  <conditionalFormatting sqref="J6:J15 J17:J34 J90">
    <cfRule type="cellIs" dxfId="4" priority="5" operator="greaterThanOrEqual">
      <formula>1</formula>
    </cfRule>
  </conditionalFormatting>
  <conditionalFormatting sqref="J6:J15 J17:J34 J90">
    <cfRule type="cellIs" dxfId="5" priority="6" operator="greaterThanOrEqual">
      <formula>0.8</formula>
    </cfRule>
  </conditionalFormatting>
  <hyperlinks>
    <hyperlink display="40" location="'Piston ph40'!A1" ref="B95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6.75"/>
    <col customWidth="1" min="4" max="4" width="17.0"/>
    <col customWidth="1" min="5" max="5" width="16.75"/>
    <col customWidth="1" min="6" max="6" width="17.0"/>
    <col customWidth="1" min="7" max="7" width="14.25"/>
    <col customWidth="1" min="8" max="8" width="14.75"/>
    <col customWidth="1" hidden="1" min="9" max="9" width="14.5"/>
    <col customWidth="1" min="10" max="10" width="19.0"/>
    <col customWidth="1" min="11" max="11" width="19.38"/>
    <col customWidth="1" min="12" max="12" width="18.5"/>
    <col customWidth="1" min="13" max="13" width="13.25"/>
    <col customWidth="1" min="14" max="14" width="22.38"/>
  </cols>
  <sheetData>
    <row r="2">
      <c r="B2" s="73" t="s">
        <v>95</v>
      </c>
      <c r="C2" s="74">
        <f>C40</f>
        <v>0.5833333333</v>
      </c>
    </row>
    <row r="4" ht="40.5" customHeight="1">
      <c r="B4" s="75" t="s">
        <v>1</v>
      </c>
      <c r="C4" s="60" t="s">
        <v>2</v>
      </c>
      <c r="D4" s="61" t="s">
        <v>85</v>
      </c>
      <c r="E4" s="61" t="s">
        <v>86</v>
      </c>
      <c r="F4" s="62" t="s">
        <v>87</v>
      </c>
      <c r="G4" s="62" t="s">
        <v>88</v>
      </c>
      <c r="H4" s="62" t="s">
        <v>89</v>
      </c>
      <c r="I4" s="62" t="s">
        <v>90</v>
      </c>
      <c r="J4" s="61" t="s">
        <v>91</v>
      </c>
      <c r="K4" s="63" t="s">
        <v>92</v>
      </c>
      <c r="L4" s="64"/>
      <c r="M4" s="61" t="s">
        <v>93</v>
      </c>
    </row>
    <row r="5">
      <c r="B5" s="76" t="s">
        <v>14</v>
      </c>
      <c r="C5" s="77">
        <v>10.0</v>
      </c>
      <c r="D5" s="48" t="s">
        <v>19</v>
      </c>
      <c r="E5" s="66">
        <v>31.0</v>
      </c>
      <c r="F5" s="78">
        <f>'Support ph10'!L17</f>
        <v>3</v>
      </c>
      <c r="G5" s="79">
        <f>'Support ph10'!M17</f>
        <v>1</v>
      </c>
      <c r="H5" s="80">
        <f>'Support ph10'!O17</f>
        <v>0.6666666667</v>
      </c>
      <c r="I5" s="72">
        <v>1.0</v>
      </c>
      <c r="J5" s="81">
        <f>'Support ph10'!P17</f>
        <v>0.007638888889</v>
      </c>
      <c r="K5" s="71">
        <f t="shared" ref="K5:K14" si="1">(E5-F5)*J5</f>
        <v>0.2138888889</v>
      </c>
      <c r="L5" s="71" t="str">
        <f t="shared" ref="L5:L14" si="2">IF(K5&gt;=$C$40,"retard","ok")</f>
        <v>ok</v>
      </c>
      <c r="M5" s="72">
        <f t="shared" ref="M5:M14" si="3">F5/E5</f>
        <v>0.09677419355</v>
      </c>
    </row>
    <row r="6">
      <c r="B6" s="82"/>
      <c r="C6" s="65">
        <v>15.0</v>
      </c>
      <c r="D6" s="48" t="s">
        <v>17</v>
      </c>
      <c r="E6" s="66">
        <v>26.0</v>
      </c>
      <c r="F6" s="78">
        <f>'Support ph15'!J17</f>
        <v>7</v>
      </c>
      <c r="G6" s="79">
        <f>'Support ph15'!K17</f>
        <v>0</v>
      </c>
      <c r="H6" s="80">
        <f>'Support ph15'!M17</f>
        <v>1</v>
      </c>
      <c r="I6" s="72">
        <v>1.0</v>
      </c>
      <c r="J6" s="81">
        <f>'Support ph15'!N17</f>
        <v>0.00505952381</v>
      </c>
      <c r="K6" s="71">
        <f t="shared" si="1"/>
        <v>0.09613095238</v>
      </c>
      <c r="L6" s="71" t="str">
        <f t="shared" si="2"/>
        <v>ok</v>
      </c>
      <c r="M6" s="72">
        <f t="shared" si="3"/>
        <v>0.2692307692</v>
      </c>
      <c r="N6" s="83"/>
      <c r="P6" s="83"/>
    </row>
    <row r="7">
      <c r="B7" s="82"/>
      <c r="C7" s="65">
        <v>20.0</v>
      </c>
      <c r="D7" s="48" t="s">
        <v>25</v>
      </c>
      <c r="E7" s="66">
        <v>22.0</v>
      </c>
      <c r="F7" s="78">
        <f>'Support ph20'!M7</f>
        <v>4</v>
      </c>
      <c r="G7" s="79">
        <f>'Support ph20'!N7</f>
        <v>0</v>
      </c>
      <c r="H7" s="80">
        <f>'Support ph20'!P7</f>
        <v>1</v>
      </c>
      <c r="I7" s="72">
        <v>0.96</v>
      </c>
      <c r="J7" s="81">
        <f>'Support ph20'!Q7</f>
        <v>0.01041666667</v>
      </c>
      <c r="K7" s="71">
        <f t="shared" si="1"/>
        <v>0.1875</v>
      </c>
      <c r="L7" s="71" t="str">
        <f t="shared" si="2"/>
        <v>ok</v>
      </c>
      <c r="M7" s="72">
        <f t="shared" si="3"/>
        <v>0.1818181818</v>
      </c>
    </row>
    <row r="8">
      <c r="B8" s="31"/>
      <c r="C8" s="65">
        <v>30.0</v>
      </c>
      <c r="D8" s="84" t="s">
        <v>31</v>
      </c>
      <c r="E8" s="66">
        <v>22.0</v>
      </c>
      <c r="F8" s="78">
        <f>'Support ph30'!L16</f>
        <v>0</v>
      </c>
      <c r="G8" s="79">
        <f>'Support ph30'!M16</f>
        <v>0</v>
      </c>
      <c r="H8" s="80" t="str">
        <f>'Support ph30'!O16</f>
        <v>#DIV/0!</v>
      </c>
      <c r="I8" s="72">
        <v>0.8888888888888888</v>
      </c>
      <c r="J8" s="81" t="str">
        <f>'Support ph30'!P16</f>
        <v>#DIV/0!</v>
      </c>
      <c r="K8" s="71" t="str">
        <f t="shared" si="1"/>
        <v>#DIV/0!</v>
      </c>
      <c r="L8" s="71" t="str">
        <f t="shared" si="2"/>
        <v>#DIV/0!</v>
      </c>
      <c r="M8" s="72">
        <f t="shared" si="3"/>
        <v>0</v>
      </c>
    </row>
    <row r="9">
      <c r="B9" s="58" t="s">
        <v>33</v>
      </c>
      <c r="C9" s="65">
        <v>20.0</v>
      </c>
      <c r="D9" s="31"/>
      <c r="E9" s="66">
        <v>19.0</v>
      </c>
      <c r="F9" s="78">
        <f>'Equerre ph20'!L17</f>
        <v>0</v>
      </c>
      <c r="G9" s="79">
        <f>'Equerre ph20'!M17</f>
        <v>0</v>
      </c>
      <c r="H9" s="80" t="str">
        <f>'Equerre ph20'!O17</f>
        <v>#DIV/0!</v>
      </c>
      <c r="I9" s="72">
        <v>0.96</v>
      </c>
      <c r="J9" s="81" t="str">
        <f>'Equerre ph20'!P17</f>
        <v>#DIV/0!</v>
      </c>
      <c r="K9" s="71" t="str">
        <f t="shared" si="1"/>
        <v>#DIV/0!</v>
      </c>
      <c r="L9" s="71" t="str">
        <f t="shared" si="2"/>
        <v>#DIV/0!</v>
      </c>
      <c r="M9" s="72">
        <f t="shared" si="3"/>
        <v>0</v>
      </c>
    </row>
    <row r="10">
      <c r="B10" s="58" t="s">
        <v>14</v>
      </c>
      <c r="C10" s="65">
        <v>40.0</v>
      </c>
      <c r="D10" s="85" t="s">
        <v>35</v>
      </c>
      <c r="E10" s="66">
        <v>19.0</v>
      </c>
      <c r="F10" s="78">
        <f>'Support ph40'!L17</f>
        <v>0</v>
      </c>
      <c r="G10" s="79">
        <f>'Support ph40'!M17</f>
        <v>0</v>
      </c>
      <c r="H10" s="80" t="str">
        <f>'Support ph40'!O17</f>
        <v>#DIV/0!</v>
      </c>
      <c r="I10" s="72">
        <v>0.8333333333333334</v>
      </c>
      <c r="J10" s="81" t="str">
        <f>'Support ph40'!P17</f>
        <v>#DIV/0!</v>
      </c>
      <c r="K10" s="71" t="str">
        <f t="shared" si="1"/>
        <v>#DIV/0!</v>
      </c>
      <c r="L10" s="71" t="str">
        <f t="shared" si="2"/>
        <v>#DIV/0!</v>
      </c>
      <c r="M10" s="72">
        <f t="shared" si="3"/>
        <v>0</v>
      </c>
    </row>
    <row r="11">
      <c r="B11" s="58" t="s">
        <v>33</v>
      </c>
      <c r="C11" s="65">
        <v>30.0</v>
      </c>
      <c r="D11" s="30"/>
      <c r="E11" s="66">
        <v>19.0</v>
      </c>
      <c r="F11" s="78">
        <f>'Equerre ph30'!L17</f>
        <v>0</v>
      </c>
      <c r="G11" s="79">
        <f>'Equerre ph30'!M17</f>
        <v>0</v>
      </c>
      <c r="H11" s="80" t="str">
        <f>'Equerre ph30'!O17</f>
        <v>#DIV/0!</v>
      </c>
      <c r="I11" s="72">
        <v>0.8333333333333334</v>
      </c>
      <c r="J11" s="81" t="str">
        <f>'Equerre ph30'!P17</f>
        <v>#DIV/0!</v>
      </c>
      <c r="K11" s="71" t="str">
        <f t="shared" si="1"/>
        <v>#DIV/0!</v>
      </c>
      <c r="L11" s="71" t="str">
        <f t="shared" si="2"/>
        <v>#DIV/0!</v>
      </c>
      <c r="M11" s="72">
        <f t="shared" si="3"/>
        <v>0</v>
      </c>
    </row>
    <row r="12">
      <c r="B12" s="86" t="s">
        <v>14</v>
      </c>
      <c r="C12" s="65">
        <v>50.0</v>
      </c>
      <c r="D12" s="87"/>
      <c r="E12" s="66">
        <v>19.0</v>
      </c>
      <c r="F12" s="78">
        <f>'Support ph50'!L17</f>
        <v>0</v>
      </c>
      <c r="G12" s="79">
        <f>'Support ph50'!M17</f>
        <v>0</v>
      </c>
      <c r="H12" s="80" t="str">
        <f>'Support ph50'!O17</f>
        <v>#DIV/0!</v>
      </c>
      <c r="I12" s="72">
        <v>1.0</v>
      </c>
      <c r="J12" s="81" t="str">
        <f>'Support ph50'!P17</f>
        <v>#DIV/0!</v>
      </c>
      <c r="K12" s="71" t="str">
        <f t="shared" si="1"/>
        <v>#DIV/0!</v>
      </c>
      <c r="L12" s="71" t="str">
        <f t="shared" si="2"/>
        <v>#DIV/0!</v>
      </c>
      <c r="M12" s="72">
        <f t="shared" si="3"/>
        <v>0</v>
      </c>
    </row>
    <row r="13">
      <c r="B13" s="31"/>
      <c r="C13" s="65">
        <v>60.0</v>
      </c>
      <c r="D13" s="88" t="s">
        <v>96</v>
      </c>
      <c r="E13" s="66">
        <v>19.0</v>
      </c>
      <c r="F13" s="78">
        <f>'Support ph60'!L17</f>
        <v>0</v>
      </c>
      <c r="G13" s="79">
        <f>'Support ph60'!M17</f>
        <v>0</v>
      </c>
      <c r="H13" s="80" t="str">
        <f>'Support ph60'!O17</f>
        <v>#DIV/0!</v>
      </c>
      <c r="I13" s="72">
        <v>0.9</v>
      </c>
      <c r="J13" s="81" t="str">
        <f>'Support ph60'!P17</f>
        <v>#DIV/0!</v>
      </c>
      <c r="K13" s="71" t="str">
        <f t="shared" si="1"/>
        <v>#DIV/0!</v>
      </c>
      <c r="L13" s="71" t="str">
        <f t="shared" si="2"/>
        <v>#DIV/0!</v>
      </c>
      <c r="M13" s="72">
        <f t="shared" si="3"/>
        <v>0</v>
      </c>
    </row>
    <row r="14">
      <c r="B14" s="86" t="s">
        <v>33</v>
      </c>
      <c r="C14" s="65">
        <v>0.0</v>
      </c>
      <c r="D14" s="87"/>
      <c r="E14" s="66">
        <v>22.0</v>
      </c>
      <c r="F14" s="78">
        <f>'Equerre ph0'!L11</f>
        <v>24</v>
      </c>
      <c r="G14" s="79">
        <f>'Equerre ph0'!M11</f>
        <v>0</v>
      </c>
      <c r="H14" s="80">
        <f>'Equerre ph0'!O11</f>
        <v>1</v>
      </c>
      <c r="I14" s="72">
        <v>0.7727272727272727</v>
      </c>
      <c r="J14" s="81">
        <f>'Equerre ph0'!P11</f>
        <v>0.003501157407</v>
      </c>
      <c r="K14" s="71">
        <f t="shared" si="1"/>
        <v>-0.007002314815</v>
      </c>
      <c r="L14" s="71" t="str">
        <f t="shared" si="2"/>
        <v>ok</v>
      </c>
      <c r="M14" s="89">
        <f t="shared" si="3"/>
        <v>1.090909091</v>
      </c>
    </row>
    <row r="15">
      <c r="B15" s="82"/>
      <c r="C15" s="65">
        <v>10.0</v>
      </c>
      <c r="D15" s="90" t="s">
        <v>97</v>
      </c>
      <c r="E15" s="66"/>
      <c r="F15" s="91" t="s">
        <v>97</v>
      </c>
      <c r="G15" s="64"/>
      <c r="H15" s="64"/>
      <c r="I15" s="64"/>
      <c r="J15" s="64"/>
      <c r="K15" s="64"/>
      <c r="L15" s="92"/>
      <c r="M15" s="31"/>
    </row>
    <row r="16">
      <c r="B16" s="31"/>
      <c r="C16" s="65">
        <v>40.0</v>
      </c>
      <c r="D16" s="88" t="s">
        <v>96</v>
      </c>
      <c r="E16" s="66">
        <v>19.0</v>
      </c>
      <c r="F16" s="78">
        <f>'Equerre ph40'!L17</f>
        <v>0</v>
      </c>
      <c r="G16" s="79">
        <f>'Equerre ph40'!M17</f>
        <v>0</v>
      </c>
      <c r="H16" s="80" t="str">
        <f>'Equerre ph40'!O17</f>
        <v>#DIV/0!</v>
      </c>
      <c r="I16" s="72">
        <v>1.0</v>
      </c>
      <c r="J16" s="81" t="str">
        <f>'Equerre ph40'!P17</f>
        <v>#DIV/0!</v>
      </c>
      <c r="K16" s="71" t="str">
        <f t="shared" ref="K16:K33" si="4">(E16-F16)*J16</f>
        <v>#DIV/0!</v>
      </c>
      <c r="L16" s="71" t="str">
        <f t="shared" ref="L16:L33" si="5">IF(K16&gt;=$C$40,"retard","ok")</f>
        <v>#DIV/0!</v>
      </c>
      <c r="M16" s="72">
        <f t="shared" ref="M16:M33" si="6">F16/E16</f>
        <v>0</v>
      </c>
    </row>
    <row r="17">
      <c r="B17" s="86" t="s">
        <v>48</v>
      </c>
      <c r="C17" s="65">
        <v>10.0</v>
      </c>
      <c r="D17" s="93" t="s">
        <v>51</v>
      </c>
      <c r="E17" s="66">
        <v>40.0</v>
      </c>
      <c r="F17" s="78">
        <f>'Palier ph10'!M17</f>
        <v>7</v>
      </c>
      <c r="G17" s="79">
        <f>'Palier ph10'!N17</f>
        <v>7</v>
      </c>
      <c r="H17" s="80">
        <f>'Palier ph10'!P17</f>
        <v>0</v>
      </c>
      <c r="I17" s="72">
        <v>0.7213114754098361</v>
      </c>
      <c r="J17" s="81">
        <f>'Palier ph10'!Q17</f>
        <v>0.005555555556</v>
      </c>
      <c r="K17" s="71">
        <f t="shared" si="4"/>
        <v>0.1833333333</v>
      </c>
      <c r="L17" s="71" t="str">
        <f t="shared" si="5"/>
        <v>ok</v>
      </c>
      <c r="M17" s="72">
        <f t="shared" si="6"/>
        <v>0.175</v>
      </c>
    </row>
    <row r="18">
      <c r="B18" s="31"/>
      <c r="C18" s="65">
        <v>20.0</v>
      </c>
      <c r="D18" s="48"/>
      <c r="E18" s="66">
        <v>38.0</v>
      </c>
      <c r="F18" s="78">
        <f>'Palier ph20'!L17</f>
        <v>0</v>
      </c>
      <c r="G18" s="79">
        <f>'Palier ph20'!M17</f>
        <v>0</v>
      </c>
      <c r="H18" s="80" t="str">
        <f>'Palier ph20'!O17</f>
        <v>#DIV/0!</v>
      </c>
      <c r="I18" s="72">
        <v>1.0</v>
      </c>
      <c r="J18" s="81" t="str">
        <f>'Palier ph20'!P17</f>
        <v>#DIV/0!</v>
      </c>
      <c r="K18" s="71" t="str">
        <f t="shared" si="4"/>
        <v>#DIV/0!</v>
      </c>
      <c r="L18" s="71" t="str">
        <f t="shared" si="5"/>
        <v>#DIV/0!</v>
      </c>
      <c r="M18" s="72">
        <f t="shared" si="6"/>
        <v>0</v>
      </c>
    </row>
    <row r="19">
      <c r="B19" s="86" t="s">
        <v>53</v>
      </c>
      <c r="C19" s="65">
        <v>10.0</v>
      </c>
      <c r="D19" s="48" t="s">
        <v>39</v>
      </c>
      <c r="E19" s="66">
        <v>40.0</v>
      </c>
      <c r="F19" s="78">
        <f>'Cylindre ph10'!L17</f>
        <v>0</v>
      </c>
      <c r="G19" s="79">
        <f>'Cylindre ph10'!M17</f>
        <v>0</v>
      </c>
      <c r="H19" s="80" t="str">
        <f>'Cylindre ph10'!O17</f>
        <v>#DIV/0!</v>
      </c>
      <c r="I19" s="72">
        <v>1.0</v>
      </c>
      <c r="J19" s="81" t="str">
        <f>'Cylindre ph10'!P17</f>
        <v>#DIV/0!</v>
      </c>
      <c r="K19" s="71" t="str">
        <f t="shared" si="4"/>
        <v>#DIV/0!</v>
      </c>
      <c r="L19" s="71" t="str">
        <f t="shared" si="5"/>
        <v>#DIV/0!</v>
      </c>
      <c r="M19" s="72">
        <f t="shared" si="6"/>
        <v>0</v>
      </c>
    </row>
    <row r="20">
      <c r="B20" s="82"/>
      <c r="C20" s="65">
        <v>20.0</v>
      </c>
      <c r="D20" s="48" t="s">
        <v>23</v>
      </c>
      <c r="E20" s="66">
        <v>40.0</v>
      </c>
      <c r="F20" s="78">
        <f>'Cylindre ph20'!L17</f>
        <v>0</v>
      </c>
      <c r="G20" s="79">
        <f>'Cylindre ph20'!M17</f>
        <v>0</v>
      </c>
      <c r="H20" s="80" t="str">
        <f>'Cylindre ph20'!O17</f>
        <v>#DIV/0!</v>
      </c>
      <c r="I20" s="72">
        <v>0.9772727272727273</v>
      </c>
      <c r="J20" s="81" t="str">
        <f>'Cylindre ph20'!P17</f>
        <v>#DIV/0!</v>
      </c>
      <c r="K20" s="71" t="str">
        <f t="shared" si="4"/>
        <v>#DIV/0!</v>
      </c>
      <c r="L20" s="71" t="str">
        <f t="shared" si="5"/>
        <v>#DIV/0!</v>
      </c>
      <c r="M20" s="72">
        <f t="shared" si="6"/>
        <v>0</v>
      </c>
    </row>
    <row r="21">
      <c r="B21" s="31"/>
      <c r="C21" s="65">
        <v>30.0</v>
      </c>
      <c r="D21" s="48" t="s">
        <v>60</v>
      </c>
      <c r="E21" s="66">
        <v>38.0</v>
      </c>
      <c r="F21" s="78">
        <f>'Cylindre ph30'!M17</f>
        <v>0</v>
      </c>
      <c r="G21" s="79">
        <f>'Cylindre ph30'!N17</f>
        <v>0</v>
      </c>
      <c r="H21" s="80" t="str">
        <f>'Cylindre ph30'!P17</f>
        <v>#DIV/0!</v>
      </c>
      <c r="I21" s="72">
        <v>1.0</v>
      </c>
      <c r="J21" s="81" t="str">
        <f>'Cylindre ph30'!Q17</f>
        <v>#DIV/0!</v>
      </c>
      <c r="K21" s="71" t="str">
        <f t="shared" si="4"/>
        <v>#DIV/0!</v>
      </c>
      <c r="L21" s="71" t="str">
        <f t="shared" si="5"/>
        <v>#DIV/0!</v>
      </c>
      <c r="M21" s="72">
        <f t="shared" si="6"/>
        <v>0</v>
      </c>
    </row>
    <row r="22">
      <c r="B22" s="86" t="s">
        <v>62</v>
      </c>
      <c r="C22" s="65">
        <v>0.0</v>
      </c>
      <c r="D22" s="94" t="s">
        <v>64</v>
      </c>
      <c r="E22" s="66">
        <v>24.0</v>
      </c>
      <c r="F22" s="78">
        <f>'Volant ph0'!L17</f>
        <v>0</v>
      </c>
      <c r="G22" s="79">
        <f>'Volant ph0'!M17</f>
        <v>0</v>
      </c>
      <c r="H22" s="80" t="str">
        <f>'Volant ph0'!O17</f>
        <v>#DIV/0!</v>
      </c>
      <c r="I22" s="72">
        <v>0.75</v>
      </c>
      <c r="J22" s="81" t="str">
        <f>'Volant ph0'!P17</f>
        <v>#DIV/0!</v>
      </c>
      <c r="K22" s="71" t="str">
        <f t="shared" si="4"/>
        <v>#DIV/0!</v>
      </c>
      <c r="L22" s="71" t="str">
        <f t="shared" si="5"/>
        <v>#DIV/0!</v>
      </c>
      <c r="M22" s="72">
        <f t="shared" si="6"/>
        <v>0</v>
      </c>
    </row>
    <row r="23">
      <c r="B23" s="82"/>
      <c r="C23" s="65">
        <v>10.0</v>
      </c>
      <c r="D23" s="31"/>
      <c r="E23" s="66">
        <v>24.0</v>
      </c>
      <c r="F23" s="78">
        <f>'Volant ph10'!L17</f>
        <v>0</v>
      </c>
      <c r="G23" s="79">
        <f>'Volant ph10'!M17</f>
        <v>0</v>
      </c>
      <c r="H23" s="80" t="str">
        <f>'Volant ph10'!O17</f>
        <v>#DIV/0!</v>
      </c>
      <c r="I23" s="72">
        <v>1.0</v>
      </c>
      <c r="J23" s="81" t="str">
        <f>'Volant ph10'!P17</f>
        <v>#DIV/0!</v>
      </c>
      <c r="K23" s="71" t="str">
        <f t="shared" si="4"/>
        <v>#DIV/0!</v>
      </c>
      <c r="L23" s="71" t="str">
        <f t="shared" si="5"/>
        <v>#DIV/0!</v>
      </c>
      <c r="M23" s="72">
        <f t="shared" si="6"/>
        <v>0</v>
      </c>
    </row>
    <row r="24">
      <c r="B24" s="82"/>
      <c r="C24" s="65">
        <v>20.0</v>
      </c>
      <c r="D24" s="48" t="s">
        <v>46</v>
      </c>
      <c r="E24" s="66">
        <v>20.0</v>
      </c>
      <c r="F24" s="78">
        <f>'Volant ph20'!M17</f>
        <v>2</v>
      </c>
      <c r="G24" s="79">
        <f>'Volant ph20'!N17</f>
        <v>1</v>
      </c>
      <c r="H24" s="80">
        <f>'Volant ph20'!P17</f>
        <v>0.5</v>
      </c>
      <c r="I24" s="72">
        <v>0.782608695652174</v>
      </c>
      <c r="J24" s="81">
        <f>'Volant ph20'!Q17</f>
        <v>0.03402777778</v>
      </c>
      <c r="K24" s="71">
        <f t="shared" si="4"/>
        <v>0.6125</v>
      </c>
      <c r="L24" s="71" t="str">
        <f t="shared" si="5"/>
        <v>retard</v>
      </c>
      <c r="M24" s="72">
        <f t="shared" si="6"/>
        <v>0.1</v>
      </c>
    </row>
    <row r="25">
      <c r="B25" s="82"/>
      <c r="C25" s="65">
        <v>30.0</v>
      </c>
      <c r="D25" s="48" t="s">
        <v>29</v>
      </c>
      <c r="E25" s="66">
        <v>19.0</v>
      </c>
      <c r="F25" s="78">
        <f>'Volant ph30'!L17</f>
        <v>1</v>
      </c>
      <c r="G25" s="79">
        <f>'Volant ph30'!M17</f>
        <v>0</v>
      </c>
      <c r="H25" s="80">
        <f>'Volant ph30'!O17</f>
        <v>1</v>
      </c>
      <c r="I25" s="72">
        <v>0.9565217391304348</v>
      </c>
      <c r="J25" s="81">
        <f>'Volant ph30'!P17</f>
        <v>0.05555555556</v>
      </c>
      <c r="K25" s="71">
        <f t="shared" si="4"/>
        <v>1</v>
      </c>
      <c r="L25" s="71" t="str">
        <f t="shared" si="5"/>
        <v>retard</v>
      </c>
      <c r="M25" s="72">
        <f t="shared" si="6"/>
        <v>0.05263157895</v>
      </c>
    </row>
    <row r="26">
      <c r="B26" s="31"/>
      <c r="C26" s="65">
        <v>40.0</v>
      </c>
      <c r="D26" s="48"/>
      <c r="E26" s="66">
        <v>19.0</v>
      </c>
      <c r="F26" s="78">
        <f>'Volant ph40'!L16</f>
        <v>0</v>
      </c>
      <c r="G26" s="79">
        <f>'Volant ph40'!M16</f>
        <v>0</v>
      </c>
      <c r="H26" s="80" t="str">
        <f>'Volant ph40'!O16</f>
        <v>#DIV/0!</v>
      </c>
      <c r="I26" s="72">
        <v>1.0</v>
      </c>
      <c r="J26" s="81" t="str">
        <f>'Volant ph40'!P16</f>
        <v>#DIV/0!</v>
      </c>
      <c r="K26" s="71" t="str">
        <f t="shared" si="4"/>
        <v>#DIV/0!</v>
      </c>
      <c r="L26" s="71" t="str">
        <f t="shared" si="5"/>
        <v>#DIV/0!</v>
      </c>
      <c r="M26" s="72">
        <f t="shared" si="6"/>
        <v>0</v>
      </c>
    </row>
    <row r="27">
      <c r="B27" s="86" t="s">
        <v>68</v>
      </c>
      <c r="C27" s="65">
        <v>20.0</v>
      </c>
      <c r="D27" s="48" t="s">
        <v>58</v>
      </c>
      <c r="E27" s="66">
        <v>72.0</v>
      </c>
      <c r="F27" s="78">
        <f>'Piston ph20'!L17</f>
        <v>20</v>
      </c>
      <c r="G27" s="79">
        <f>'Piston ph20'!M17</f>
        <v>0</v>
      </c>
      <c r="H27" s="80">
        <f>'Piston ph20'!O17</f>
        <v>1</v>
      </c>
      <c r="I27" s="72">
        <v>1.0</v>
      </c>
      <c r="J27" s="81">
        <f>'Piston ph20'!P17</f>
        <v>0.004901041667</v>
      </c>
      <c r="K27" s="71">
        <f t="shared" si="4"/>
        <v>0.2548541667</v>
      </c>
      <c r="L27" s="71" t="str">
        <f t="shared" si="5"/>
        <v>ok</v>
      </c>
      <c r="M27" s="72">
        <f t="shared" si="6"/>
        <v>0.2777777778</v>
      </c>
    </row>
    <row r="28">
      <c r="B28" s="82"/>
      <c r="C28" s="65">
        <v>30.0</v>
      </c>
      <c r="D28" s="48" t="s">
        <v>59</v>
      </c>
      <c r="E28" s="66">
        <v>64.0</v>
      </c>
      <c r="F28" s="78">
        <f>'Piston ph30'!L17</f>
        <v>2</v>
      </c>
      <c r="G28" s="79">
        <f>'Piston ph30'!M17</f>
        <v>1</v>
      </c>
      <c r="H28" s="80">
        <f>'Piston ph30'!O17</f>
        <v>0.5</v>
      </c>
      <c r="I28" s="72">
        <v>0.7910447761194029</v>
      </c>
      <c r="J28" s="81">
        <f>'Piston ph30'!P17</f>
        <v>-0.003804012346</v>
      </c>
      <c r="K28" s="71">
        <f t="shared" si="4"/>
        <v>-0.2358487654</v>
      </c>
      <c r="L28" s="71" t="str">
        <f t="shared" si="5"/>
        <v>ok</v>
      </c>
      <c r="M28" s="72">
        <f t="shared" si="6"/>
        <v>0.03125</v>
      </c>
    </row>
    <row r="29">
      <c r="B29" s="82"/>
      <c r="C29" s="65">
        <v>40.0</v>
      </c>
      <c r="D29" s="48" t="s">
        <v>22</v>
      </c>
      <c r="E29" s="66">
        <v>57.0</v>
      </c>
      <c r="F29" s="78">
        <f>'Piston ph40'!L17</f>
        <v>0</v>
      </c>
      <c r="G29" s="79">
        <f>'Piston ph40'!M17</f>
        <v>0</v>
      </c>
      <c r="H29" s="80" t="str">
        <f>'Piston ph40'!O17</f>
        <v>#DIV/0!</v>
      </c>
      <c r="I29" s="95">
        <v>0.78</v>
      </c>
      <c r="J29" s="96" t="str">
        <f>'Piston ph40'!P17</f>
        <v>#DIV/0!</v>
      </c>
      <c r="K29" s="71" t="str">
        <f t="shared" si="4"/>
        <v>#DIV/0!</v>
      </c>
      <c r="L29" s="71" t="str">
        <f t="shared" si="5"/>
        <v>#DIV/0!</v>
      </c>
      <c r="M29" s="72">
        <f t="shared" si="6"/>
        <v>0</v>
      </c>
    </row>
    <row r="30">
      <c r="B30" s="31"/>
      <c r="C30" s="65">
        <v>50.0</v>
      </c>
      <c r="D30" s="88" t="s">
        <v>96</v>
      </c>
      <c r="E30" s="66">
        <v>57.0</v>
      </c>
      <c r="F30" s="78">
        <f>'Piston ph50'!L17</f>
        <v>0</v>
      </c>
      <c r="G30" s="79">
        <f>'Piston ph50'!M17</f>
        <v>0</v>
      </c>
      <c r="H30" s="80" t="str">
        <f>'Piston ph50'!O17</f>
        <v>#DIV/0!</v>
      </c>
      <c r="I30" s="72">
        <v>1.0</v>
      </c>
      <c r="J30" s="81" t="str">
        <f>'Piston ph50'!P17</f>
        <v>#DIV/0!</v>
      </c>
      <c r="K30" s="71" t="str">
        <f t="shared" si="4"/>
        <v>#DIV/0!</v>
      </c>
      <c r="L30" s="71" t="str">
        <f t="shared" si="5"/>
        <v>#DIV/0!</v>
      </c>
      <c r="M30" s="72">
        <f t="shared" si="6"/>
        <v>0</v>
      </c>
    </row>
    <row r="31">
      <c r="B31" s="86" t="s">
        <v>72</v>
      </c>
      <c r="C31" s="65">
        <v>10.0</v>
      </c>
      <c r="D31" s="48"/>
      <c r="E31" s="66">
        <v>23.0</v>
      </c>
      <c r="F31" s="78">
        <f>'Raccord M8 ph10'!R17</f>
        <v>0</v>
      </c>
      <c r="G31" s="79">
        <f>'Raccord M8 ph10'!S17</f>
        <v>0</v>
      </c>
      <c r="H31" s="80" t="str">
        <f>'Raccord M8 ph10'!U17</f>
        <v>#DIV/0!</v>
      </c>
      <c r="I31" s="72">
        <v>0.9777777777777777</v>
      </c>
      <c r="J31" s="81" t="str">
        <f>'Raccord M8 ph10'!V17</f>
        <v>#DIV/0!</v>
      </c>
      <c r="K31" s="71" t="str">
        <f t="shared" si="4"/>
        <v>#DIV/0!</v>
      </c>
      <c r="L31" s="71" t="str">
        <f t="shared" si="5"/>
        <v>#DIV/0!</v>
      </c>
      <c r="M31" s="72">
        <f t="shared" si="6"/>
        <v>0</v>
      </c>
    </row>
    <row r="32">
      <c r="B32" s="31"/>
      <c r="C32" s="65">
        <v>20.0</v>
      </c>
      <c r="D32" s="97" t="s">
        <v>98</v>
      </c>
      <c r="E32" s="66">
        <v>19.0</v>
      </c>
      <c r="F32" s="78">
        <f>'Raccord M8 ph20'!L17</f>
        <v>0</v>
      </c>
      <c r="G32" s="79">
        <f>'Raccord M8 ph20'!M17</f>
        <v>0</v>
      </c>
      <c r="H32" s="80" t="str">
        <f>'Raccord M8 ph20'!O17</f>
        <v>#DIV/0!</v>
      </c>
      <c r="I32" s="72">
        <v>1.0</v>
      </c>
      <c r="J32" s="81" t="str">
        <f>'Raccord M8 ph20'!P17</f>
        <v>#DIV/0!</v>
      </c>
      <c r="K32" s="71" t="str">
        <f t="shared" si="4"/>
        <v>#DIV/0!</v>
      </c>
      <c r="L32" s="71" t="str">
        <f t="shared" si="5"/>
        <v>#DIV/0!</v>
      </c>
      <c r="M32" s="72">
        <f t="shared" si="6"/>
        <v>0</v>
      </c>
    </row>
    <row r="33">
      <c r="B33" s="58" t="s">
        <v>77</v>
      </c>
      <c r="C33" s="65">
        <v>10.0</v>
      </c>
      <c r="D33" s="48"/>
      <c r="E33" s="66">
        <f>19*3</f>
        <v>57</v>
      </c>
      <c r="F33" s="78">
        <f>'Pied ph10'!L17</f>
        <v>0</v>
      </c>
      <c r="G33" s="79">
        <f>'Pied ph10'!M17</f>
        <v>0</v>
      </c>
      <c r="H33" s="80" t="str">
        <f>'Pied ph10'!O17</f>
        <v>#DIV/0!</v>
      </c>
      <c r="I33" s="72">
        <v>0.9772727272727273</v>
      </c>
      <c r="J33" s="81" t="str">
        <f>'Pied ph10'!P17</f>
        <v>#DIV/0!</v>
      </c>
      <c r="K33" s="71" t="str">
        <f t="shared" si="4"/>
        <v>#DIV/0!</v>
      </c>
      <c r="L33" s="71" t="str">
        <f t="shared" si="5"/>
        <v>#DIV/0!</v>
      </c>
      <c r="M33" s="72">
        <f t="shared" si="6"/>
        <v>0</v>
      </c>
    </row>
    <row r="34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9"/>
      <c r="M34" s="99"/>
    </row>
    <row r="35">
      <c r="B35" s="100"/>
      <c r="C35" s="101" t="s">
        <v>99</v>
      </c>
      <c r="D35" s="101" t="s">
        <v>100</v>
      </c>
      <c r="E35" s="101" t="s">
        <v>101</v>
      </c>
      <c r="F35" s="101" t="s">
        <v>102</v>
      </c>
      <c r="G35" s="101" t="s">
        <v>103</v>
      </c>
      <c r="H35" s="102"/>
      <c r="I35" s="103"/>
      <c r="J35" s="104" t="s">
        <v>104</v>
      </c>
      <c r="K35" s="105"/>
    </row>
    <row r="36" ht="18.0" customHeight="1">
      <c r="B36" s="101" t="s">
        <v>105</v>
      </c>
      <c r="C36" s="106">
        <v>0.7291666666666666</v>
      </c>
      <c r="D36" s="106">
        <v>0.0</v>
      </c>
      <c r="E36" s="106">
        <v>0.0</v>
      </c>
      <c r="F36" s="106">
        <v>0.0</v>
      </c>
      <c r="G36" s="106">
        <v>0.0</v>
      </c>
      <c r="I36" s="107"/>
      <c r="J36" s="108">
        <f>'total moteurs'!G8</f>
        <v>0</v>
      </c>
      <c r="K36" s="109" t="s">
        <v>106</v>
      </c>
    </row>
    <row r="37">
      <c r="B37" s="101" t="s">
        <v>107</v>
      </c>
      <c r="C37" s="106">
        <v>0.5625</v>
      </c>
      <c r="D37" s="106">
        <v>0.0</v>
      </c>
      <c r="E37" s="106">
        <v>0.0</v>
      </c>
      <c r="F37" s="106">
        <v>0.0</v>
      </c>
      <c r="G37" s="106">
        <v>0.0</v>
      </c>
    </row>
    <row r="38">
      <c r="B38" s="101" t="s">
        <v>108</v>
      </c>
      <c r="C38" s="110">
        <v>0.75</v>
      </c>
      <c r="D38" s="64"/>
      <c r="E38" s="64"/>
      <c r="F38" s="64"/>
      <c r="G38" s="92"/>
    </row>
    <row r="39">
      <c r="B39" s="101" t="s">
        <v>109</v>
      </c>
      <c r="C39" s="111">
        <f t="shared" ref="C39:G39" si="7">C36-C37</f>
        <v>0.1666666667</v>
      </c>
      <c r="D39" s="111">
        <f t="shared" si="7"/>
        <v>0</v>
      </c>
      <c r="E39" s="111">
        <f t="shared" si="7"/>
        <v>0</v>
      </c>
      <c r="F39" s="111">
        <f t="shared" si="7"/>
        <v>0</v>
      </c>
      <c r="G39" s="111">
        <f t="shared" si="7"/>
        <v>0</v>
      </c>
    </row>
    <row r="40">
      <c r="B40" s="101" t="s">
        <v>110</v>
      </c>
      <c r="C40" s="112">
        <f>C38-SUM(C39:G39)</f>
        <v>0.5833333333</v>
      </c>
      <c r="D40" s="64"/>
      <c r="E40" s="64"/>
      <c r="F40" s="64"/>
      <c r="G40" s="92"/>
    </row>
  </sheetData>
  <mergeCells count="17">
    <mergeCell ref="K4:L4"/>
    <mergeCell ref="B5:B8"/>
    <mergeCell ref="D8:D9"/>
    <mergeCell ref="D10:D11"/>
    <mergeCell ref="B12:B13"/>
    <mergeCell ref="M14:M15"/>
    <mergeCell ref="F15:L15"/>
    <mergeCell ref="J35:K35"/>
    <mergeCell ref="C38:G38"/>
    <mergeCell ref="C40:G40"/>
    <mergeCell ref="B14:B16"/>
    <mergeCell ref="B17:B18"/>
    <mergeCell ref="B19:B21"/>
    <mergeCell ref="B22:B26"/>
    <mergeCell ref="D22:D23"/>
    <mergeCell ref="B27:B30"/>
    <mergeCell ref="B31:B32"/>
  </mergeCells>
  <conditionalFormatting sqref="M5:M33">
    <cfRule type="cellIs" dxfId="0" priority="1" operator="greaterThanOrEqual">
      <formula>1</formula>
    </cfRule>
  </conditionalFormatting>
  <conditionalFormatting sqref="C2 C40:G40">
    <cfRule type="cellIs" dxfId="6" priority="2" operator="lessThan">
      <formula>"03:00:00"</formula>
    </cfRule>
  </conditionalFormatting>
  <conditionalFormatting sqref="C2 C40:G40">
    <cfRule type="cellIs" dxfId="7" priority="3" operator="greaterThan">
      <formula>"15:00:00"</formula>
    </cfRule>
  </conditionalFormatting>
  <conditionalFormatting sqref="C2 C40:G40">
    <cfRule type="cellIs" dxfId="2" priority="4" operator="between">
      <formula>"15:00:00"</formula>
      <formula>"12:00:00"</formula>
    </cfRule>
  </conditionalFormatting>
  <conditionalFormatting sqref="C2 C40:G40">
    <cfRule type="cellIs" dxfId="5" priority="5" operator="between">
      <formula>"12:00:00"</formula>
      <formula>"09:00:00"</formula>
    </cfRule>
  </conditionalFormatting>
  <conditionalFormatting sqref="C2 C40:G40">
    <cfRule type="cellIs" dxfId="8" priority="6" operator="between">
      <formula>"09:00:00"</formula>
      <formula>"06:00:00"</formula>
    </cfRule>
  </conditionalFormatting>
  <conditionalFormatting sqref="C2 C40:G40">
    <cfRule type="cellIs" dxfId="9" priority="7" operator="notBetween">
      <formula>"06:00:00"</formula>
      <formula>"03:00:00"</formula>
    </cfRule>
  </conditionalFormatting>
  <conditionalFormatting sqref="P6">
    <cfRule type="expression" dxfId="2" priority="8">
      <formula>"M6"</formula>
    </cfRule>
  </conditionalFormatting>
  <conditionalFormatting sqref="H5:H14 H16:H33">
    <cfRule type="cellIs" dxfId="1" priority="9" operator="lessThan">
      <formula>"50%"</formula>
    </cfRule>
  </conditionalFormatting>
  <conditionalFormatting sqref="L5:L14 L16:L33">
    <cfRule type="cellIs" dxfId="2" priority="10" operator="equal">
      <formula>"ok"</formula>
    </cfRule>
  </conditionalFormatting>
  <conditionalFormatting sqref="L5:L14 L16:L33">
    <cfRule type="cellIs" dxfId="3" priority="11" operator="equal">
      <formula>"retard"</formula>
    </cfRule>
  </conditionalFormatting>
  <conditionalFormatting sqref="I36:J36">
    <cfRule type="cellIs" dxfId="10" priority="12" operator="greaterThanOrEqual">
      <formula>22</formula>
    </cfRule>
  </conditionalFormatting>
  <hyperlinks>
    <hyperlink display="10" location="'Support ph10'!A1" ref="C5"/>
    <hyperlink display="15" location="'Support ph15'!A1" ref="C6"/>
    <hyperlink display="20" location="'Support ph20'!A1" ref="C7"/>
    <hyperlink display="30" location="'Support ph30'!A1" ref="C8"/>
    <hyperlink display="20" location="'Equerre ph20'!A1" ref="C9"/>
    <hyperlink display="40" location="'Support ph40'!A1" ref="C10"/>
    <hyperlink display="30" location="'Equerre ph30'!A1" ref="C11"/>
    <hyperlink display="50" location="'Support ph50'!A1" ref="C12"/>
    <hyperlink display="60" location="'Support ph60'!A1" ref="C13"/>
    <hyperlink display="0" location="'Equerre ph0'!A1" ref="C14"/>
    <hyperlink display="10" location="'Equerre ph10'!A1" ref="C15"/>
    <hyperlink display="40" location="'Equerre ph40'!A1" ref="C16"/>
    <hyperlink display="10" location="'Palier ph10'!A1" ref="C17"/>
    <hyperlink display="20" location="'Palier ph20'!A1" ref="C18"/>
    <hyperlink display="10" location="'Cylindre ph10'!A1" ref="C19"/>
    <hyperlink display="20" location="'Cylindre ph20'!A1" ref="C20"/>
    <hyperlink display="30" location="'Cylindre ph30'!A1" ref="C21"/>
    <hyperlink display="0" location="'Volant ph0'!A1" ref="C22"/>
    <hyperlink display="10" location="'Volant ph10'!A1" ref="C23"/>
    <hyperlink display="20" location="'Volant ph20'!A1" ref="C24"/>
    <hyperlink display="30" location="'Volant ph30'!A1" ref="C25"/>
    <hyperlink display="40" location="'Volant ph40'!A1" ref="C26"/>
    <hyperlink display="20" location="'Piston ph20'!A1" ref="C27"/>
    <hyperlink display="30" location="'Piston ph30'!A1" ref="C28"/>
    <hyperlink display="40" location="'Piston ph40'!A1" ref="C29"/>
    <hyperlink display="50" location="'Piston ph50'!A1" ref="C30"/>
    <hyperlink display="10" location="'Raccord M8 ph10'!A1" ref="C31"/>
    <hyperlink display="20" location="'Raccord M8 ph20'!A1" ref="C32"/>
    <hyperlink display="10" location="'Pied ph10'!A1" ref="C3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23.75"/>
    <col customWidth="1" min="6" max="6" width="15.5"/>
    <col customWidth="1" min="7" max="7" width="21.75"/>
    <col customWidth="1" min="8" max="8" width="14.75"/>
    <col customWidth="1" min="9" max="9" width="19.0"/>
    <col customWidth="1" min="10" max="10" width="28.0"/>
    <col customWidth="1" min="12" max="12" width="27.5"/>
  </cols>
  <sheetData>
    <row r="2">
      <c r="B2" s="83"/>
      <c r="C2" s="83"/>
    </row>
    <row r="4" ht="34.5" customHeight="1">
      <c r="B4" s="4" t="s">
        <v>1</v>
      </c>
      <c r="C4" s="4" t="s">
        <v>111</v>
      </c>
      <c r="D4" s="5" t="s">
        <v>112</v>
      </c>
      <c r="E4" s="5" t="s">
        <v>113</v>
      </c>
    </row>
    <row r="5">
      <c r="A5" s="113" t="s">
        <v>114</v>
      </c>
      <c r="B5" s="4" t="s">
        <v>14</v>
      </c>
      <c r="C5" s="114">
        <f>'Support ph60'!L5</f>
        <v>0</v>
      </c>
      <c r="D5" s="115">
        <v>1.0</v>
      </c>
      <c r="E5" s="115">
        <f t="shared" ref="E5:E12" si="1">ROUNDDOWN(C5/D5,0)</f>
        <v>0</v>
      </c>
    </row>
    <row r="6">
      <c r="A6" s="113" t="s">
        <v>114</v>
      </c>
      <c r="B6" s="4" t="s">
        <v>33</v>
      </c>
      <c r="C6" s="114">
        <f>'Equerre ph40'!L5</f>
        <v>0</v>
      </c>
      <c r="D6" s="115">
        <v>1.0</v>
      </c>
      <c r="E6" s="115">
        <f t="shared" si="1"/>
        <v>0</v>
      </c>
    </row>
    <row r="7">
      <c r="B7" s="4" t="s">
        <v>48</v>
      </c>
      <c r="C7" s="116">
        <f>'Palier ph20'!L5</f>
        <v>0</v>
      </c>
      <c r="D7" s="115">
        <v>2.0</v>
      </c>
      <c r="E7" s="115">
        <f t="shared" si="1"/>
        <v>0</v>
      </c>
      <c r="G7" s="117" t="s">
        <v>115</v>
      </c>
    </row>
    <row r="8">
      <c r="B8" s="4" t="s">
        <v>53</v>
      </c>
      <c r="C8" s="116">
        <f>'Cylindre ph30'!M6</f>
        <v>0</v>
      </c>
      <c r="D8" s="115">
        <v>2.0</v>
      </c>
      <c r="E8" s="115">
        <f t="shared" si="1"/>
        <v>0</v>
      </c>
      <c r="G8" s="118">
        <f>MIN(E5:E12)</f>
        <v>0</v>
      </c>
      <c r="H8" s="109" t="s">
        <v>106</v>
      </c>
    </row>
    <row r="9">
      <c r="B9" s="4" t="s">
        <v>62</v>
      </c>
      <c r="C9" s="116">
        <f>'Volant ph40'!L5</f>
        <v>0</v>
      </c>
      <c r="D9" s="115">
        <v>1.0</v>
      </c>
      <c r="E9" s="115">
        <f t="shared" si="1"/>
        <v>0</v>
      </c>
    </row>
    <row r="10">
      <c r="A10" s="113" t="s">
        <v>114</v>
      </c>
      <c r="B10" s="4" t="s">
        <v>68</v>
      </c>
      <c r="C10" s="114">
        <f>'Piston ph50'!L7</f>
        <v>0</v>
      </c>
      <c r="D10" s="115">
        <v>3.0</v>
      </c>
      <c r="E10" s="115">
        <f t="shared" si="1"/>
        <v>0</v>
      </c>
    </row>
    <row r="11">
      <c r="B11" s="4" t="s">
        <v>72</v>
      </c>
      <c r="C11" s="116">
        <f>'Raccord M8 ph20'!L5</f>
        <v>0</v>
      </c>
      <c r="D11" s="115">
        <v>2.0</v>
      </c>
      <c r="E11" s="115">
        <f t="shared" si="1"/>
        <v>0</v>
      </c>
    </row>
    <row r="12">
      <c r="B12" s="4" t="s">
        <v>77</v>
      </c>
      <c r="C12" s="116">
        <f>'Pied ph10'!L5</f>
        <v>0</v>
      </c>
      <c r="D12" s="115">
        <v>4.0</v>
      </c>
      <c r="E12" s="115">
        <f t="shared" si="1"/>
        <v>0</v>
      </c>
    </row>
    <row r="16">
      <c r="D16" s="8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15.38"/>
    <col customWidth="1" min="4" max="4" width="19.75"/>
    <col customWidth="1" min="5" max="5" width="16.63"/>
    <col customWidth="1" min="8" max="8" width="14.5"/>
    <col customWidth="1" min="9" max="9" width="14.63"/>
    <col customWidth="1" min="11" max="11" width="29.63"/>
    <col customWidth="1" min="12" max="12" width="34.88"/>
    <col customWidth="1" min="13" max="13" width="20.38"/>
    <col customWidth="1" min="14" max="14" width="23.0"/>
  </cols>
  <sheetData>
    <row r="1">
      <c r="A1" s="119" t="s">
        <v>116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23" t="s">
        <v>117</v>
      </c>
      <c r="B3" s="124" t="s">
        <v>118</v>
      </c>
      <c r="C3" s="124" t="s">
        <v>119</v>
      </c>
      <c r="D3" s="125" t="s">
        <v>120</v>
      </c>
      <c r="E3" s="125" t="s">
        <v>121</v>
      </c>
      <c r="F3" s="126" t="s">
        <v>122</v>
      </c>
      <c r="G3" s="127" t="s">
        <v>123</v>
      </c>
      <c r="H3" s="127" t="s">
        <v>124</v>
      </c>
      <c r="I3" s="124" t="s">
        <v>125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29">
        <v>1.0</v>
      </c>
      <c r="B5" s="130">
        <v>46119.0</v>
      </c>
      <c r="C5" s="131" t="s">
        <v>127</v>
      </c>
      <c r="D5" s="132">
        <v>0.5277777777777778</v>
      </c>
      <c r="E5" s="132">
        <v>0.53125</v>
      </c>
      <c r="F5" s="131" t="s">
        <v>128</v>
      </c>
      <c r="G5" s="131"/>
      <c r="H5" s="133"/>
      <c r="I5" s="133"/>
      <c r="J5" s="134">
        <f t="shared" ref="J5:J81" si="1">E5-D5</f>
        <v>0.003472222222</v>
      </c>
      <c r="L5" s="83"/>
    </row>
    <row r="6">
      <c r="A6" s="129">
        <v>2.0</v>
      </c>
      <c r="B6" s="130">
        <v>46119.0</v>
      </c>
      <c r="C6" s="131" t="s">
        <v>127</v>
      </c>
      <c r="D6" s="132">
        <v>0.53125</v>
      </c>
      <c r="E6" s="135">
        <v>0.5347222222222222</v>
      </c>
      <c r="F6" s="131" t="s">
        <v>128</v>
      </c>
      <c r="G6" s="133"/>
      <c r="H6" s="133"/>
      <c r="I6" s="133"/>
      <c r="J6" s="136">
        <f t="shared" si="1"/>
        <v>0.003472222222</v>
      </c>
    </row>
    <row r="7">
      <c r="A7" s="129">
        <v>3.0</v>
      </c>
      <c r="B7" s="130">
        <v>46119.0</v>
      </c>
      <c r="C7" s="131" t="s">
        <v>127</v>
      </c>
      <c r="D7" s="132">
        <v>0.5347222222222222</v>
      </c>
      <c r="E7" s="132">
        <v>0.5381944444444444</v>
      </c>
      <c r="F7" s="131" t="s">
        <v>128</v>
      </c>
      <c r="G7" s="133"/>
      <c r="H7" s="133"/>
      <c r="I7" s="133"/>
      <c r="J7" s="134">
        <f t="shared" si="1"/>
        <v>0.003472222222</v>
      </c>
    </row>
    <row r="8">
      <c r="A8" s="129">
        <v>4.0</v>
      </c>
      <c r="B8" s="130">
        <v>46119.0</v>
      </c>
      <c r="C8" s="131" t="s">
        <v>127</v>
      </c>
      <c r="D8" s="132">
        <v>0.5381944444444444</v>
      </c>
      <c r="E8" s="135">
        <v>0.5416666666666666</v>
      </c>
      <c r="F8" s="131" t="s">
        <v>128</v>
      </c>
      <c r="G8" s="133"/>
      <c r="H8" s="133"/>
      <c r="I8" s="133"/>
      <c r="J8" s="136">
        <f t="shared" si="1"/>
        <v>0.003472222222</v>
      </c>
    </row>
    <row r="9">
      <c r="A9" s="129">
        <v>5.0</v>
      </c>
      <c r="B9" s="130">
        <v>46119.0</v>
      </c>
      <c r="C9" s="131" t="s">
        <v>127</v>
      </c>
      <c r="D9" s="132">
        <v>0.5416666666666666</v>
      </c>
      <c r="E9" s="132">
        <v>0.5451388888888888</v>
      </c>
      <c r="F9" s="131" t="s">
        <v>128</v>
      </c>
      <c r="G9" s="133"/>
      <c r="H9" s="133"/>
      <c r="I9" s="133"/>
      <c r="J9" s="134">
        <f t="shared" si="1"/>
        <v>0.003472222222</v>
      </c>
    </row>
    <row r="10">
      <c r="A10" s="129">
        <v>6.0</v>
      </c>
      <c r="B10" s="130">
        <v>46119.0</v>
      </c>
      <c r="C10" s="131" t="s">
        <v>127</v>
      </c>
      <c r="D10" s="132">
        <v>0.5451388888888888</v>
      </c>
      <c r="E10" s="135">
        <v>0.5486111111111112</v>
      </c>
      <c r="F10" s="131" t="s">
        <v>128</v>
      </c>
      <c r="G10" s="133"/>
      <c r="H10" s="133"/>
      <c r="I10" s="133"/>
      <c r="J10" s="136">
        <f t="shared" si="1"/>
        <v>0.003472222222</v>
      </c>
      <c r="L10" s="73" t="s">
        <v>129</v>
      </c>
      <c r="M10" s="73" t="s">
        <v>130</v>
      </c>
      <c r="N10" s="73" t="s">
        <v>131</v>
      </c>
      <c r="O10" s="73" t="s">
        <v>132</v>
      </c>
      <c r="P10" s="73" t="s">
        <v>133</v>
      </c>
    </row>
    <row r="11">
      <c r="A11" s="129">
        <v>7.0</v>
      </c>
      <c r="B11" s="130">
        <v>46119.0</v>
      </c>
      <c r="C11" s="131" t="s">
        <v>45</v>
      </c>
      <c r="D11" s="132">
        <v>0.5486111111111112</v>
      </c>
      <c r="E11" s="132">
        <v>0.5520833333333334</v>
      </c>
      <c r="F11" s="131" t="s">
        <v>128</v>
      </c>
      <c r="G11" s="133"/>
      <c r="H11" s="133"/>
      <c r="I11" s="133"/>
      <c r="J11" s="134">
        <f t="shared" si="1"/>
        <v>0.003472222222</v>
      </c>
      <c r="L11" s="137">
        <f>COUNTA(F5:F92)</f>
        <v>24</v>
      </c>
      <c r="M11" s="138">
        <f>COUNTIF(F5:F93,"non")</f>
        <v>0</v>
      </c>
      <c r="N11" s="138">
        <f>COUNTIF(F5:F92,"oui")</f>
        <v>24</v>
      </c>
      <c r="O11" s="137">
        <f>(L11-M11)/L11</f>
        <v>1</v>
      </c>
      <c r="P11" s="139">
        <f>AVERAGEIF(J$5:J$200,"&lt;&gt;0")</f>
        <v>0.003501157407</v>
      </c>
    </row>
    <row r="12">
      <c r="A12" s="129">
        <v>8.0</v>
      </c>
      <c r="B12" s="130">
        <v>46119.0</v>
      </c>
      <c r="C12" s="131" t="s">
        <v>45</v>
      </c>
      <c r="D12" s="132">
        <v>0.5520833333333334</v>
      </c>
      <c r="E12" s="135">
        <v>0.5555555555555556</v>
      </c>
      <c r="F12" s="131" t="s">
        <v>128</v>
      </c>
      <c r="G12" s="133"/>
      <c r="H12" s="133"/>
      <c r="I12" s="133"/>
      <c r="J12" s="136">
        <f t="shared" si="1"/>
        <v>0.003472222222</v>
      </c>
    </row>
    <row r="13">
      <c r="A13" s="129">
        <v>9.0</v>
      </c>
      <c r="B13" s="130">
        <v>46119.0</v>
      </c>
      <c r="C13" s="131" t="s">
        <v>45</v>
      </c>
      <c r="D13" s="132">
        <v>0.5555555555555556</v>
      </c>
      <c r="E13" s="132">
        <v>0.5590277777777778</v>
      </c>
      <c r="F13" s="131" t="s">
        <v>128</v>
      </c>
      <c r="G13" s="133"/>
      <c r="H13" s="133"/>
      <c r="I13" s="133"/>
      <c r="J13" s="134">
        <f t="shared" si="1"/>
        <v>0.003472222222</v>
      </c>
    </row>
    <row r="14">
      <c r="A14" s="129">
        <v>10.0</v>
      </c>
      <c r="B14" s="130">
        <v>46119.0</v>
      </c>
      <c r="C14" s="131" t="s">
        <v>45</v>
      </c>
      <c r="D14" s="132">
        <v>0.5590277777777778</v>
      </c>
      <c r="E14" s="135">
        <v>0.5625</v>
      </c>
      <c r="F14" s="131" t="s">
        <v>128</v>
      </c>
      <c r="G14" s="133"/>
      <c r="H14" s="133"/>
      <c r="I14" s="133"/>
      <c r="J14" s="136">
        <f t="shared" si="1"/>
        <v>0.003472222222</v>
      </c>
    </row>
    <row r="15">
      <c r="A15" s="129">
        <v>11.0</v>
      </c>
      <c r="B15" s="130">
        <v>46119.0</v>
      </c>
      <c r="C15" s="131" t="s">
        <v>45</v>
      </c>
      <c r="D15" s="132">
        <v>0.5625</v>
      </c>
      <c r="E15" s="132">
        <v>0.5659722222222222</v>
      </c>
      <c r="F15" s="131" t="s">
        <v>128</v>
      </c>
      <c r="G15" s="133"/>
      <c r="H15" s="133"/>
      <c r="I15" s="133"/>
      <c r="J15" s="134">
        <f t="shared" si="1"/>
        <v>0.003472222222</v>
      </c>
    </row>
    <row r="16">
      <c r="A16" s="129">
        <v>12.0</v>
      </c>
      <c r="B16" s="130">
        <v>46119.0</v>
      </c>
      <c r="C16" s="131" t="s">
        <v>45</v>
      </c>
      <c r="D16" s="132">
        <v>0.5659722222222222</v>
      </c>
      <c r="E16" s="135">
        <v>0.5694444444444444</v>
      </c>
      <c r="F16" s="131" t="s">
        <v>128</v>
      </c>
      <c r="G16" s="133"/>
      <c r="H16" s="133"/>
      <c r="I16" s="133"/>
      <c r="J16" s="136">
        <f t="shared" si="1"/>
        <v>0.003472222222</v>
      </c>
    </row>
    <row r="17">
      <c r="A17" s="129">
        <v>13.0</v>
      </c>
      <c r="B17" s="130">
        <v>46119.0</v>
      </c>
      <c r="C17" s="131" t="s">
        <v>45</v>
      </c>
      <c r="D17" s="132">
        <v>0.5694444444444444</v>
      </c>
      <c r="E17" s="132">
        <v>0.5729166666666666</v>
      </c>
      <c r="F17" s="131" t="s">
        <v>128</v>
      </c>
      <c r="G17" s="133"/>
      <c r="H17" s="133"/>
      <c r="I17" s="133"/>
      <c r="J17" s="134">
        <f t="shared" si="1"/>
        <v>0.003472222222</v>
      </c>
    </row>
    <row r="18">
      <c r="A18" s="129">
        <v>14.0</v>
      </c>
      <c r="B18" s="130">
        <v>46119.0</v>
      </c>
      <c r="C18" s="131" t="s">
        <v>45</v>
      </c>
      <c r="D18" s="132">
        <v>0.5729166666666666</v>
      </c>
      <c r="E18" s="135">
        <v>0.5763888888888888</v>
      </c>
      <c r="F18" s="131" t="s">
        <v>128</v>
      </c>
      <c r="G18" s="133"/>
      <c r="H18" s="133"/>
      <c r="I18" s="133"/>
      <c r="J18" s="136">
        <f t="shared" si="1"/>
        <v>0.003472222222</v>
      </c>
    </row>
    <row r="19">
      <c r="A19" s="129">
        <v>15.0</v>
      </c>
      <c r="B19" s="130">
        <v>46119.0</v>
      </c>
      <c r="C19" s="131" t="s">
        <v>45</v>
      </c>
      <c r="D19" s="132">
        <v>0.5763888888888888</v>
      </c>
      <c r="E19" s="132">
        <v>0.5798611111111112</v>
      </c>
      <c r="F19" s="131" t="s">
        <v>128</v>
      </c>
      <c r="G19" s="133"/>
      <c r="H19" s="133"/>
      <c r="I19" s="133"/>
      <c r="J19" s="134">
        <f t="shared" si="1"/>
        <v>0.003472222222</v>
      </c>
    </row>
    <row r="20">
      <c r="A20" s="129">
        <v>16.0</v>
      </c>
      <c r="B20" s="130">
        <v>46119.0</v>
      </c>
      <c r="C20" s="131" t="s">
        <v>45</v>
      </c>
      <c r="D20" s="132">
        <v>0.5798611111111112</v>
      </c>
      <c r="E20" s="135">
        <v>0.5833333333333334</v>
      </c>
      <c r="F20" s="131" t="s">
        <v>128</v>
      </c>
      <c r="G20" s="133"/>
      <c r="H20" s="133"/>
      <c r="I20" s="133"/>
      <c r="J20" s="136">
        <f t="shared" si="1"/>
        <v>0.003472222222</v>
      </c>
    </row>
    <row r="21">
      <c r="A21" s="129">
        <v>17.0</v>
      </c>
      <c r="B21" s="130">
        <v>46119.0</v>
      </c>
      <c r="C21" s="131" t="s">
        <v>45</v>
      </c>
      <c r="D21" s="132">
        <v>0.5833333333333334</v>
      </c>
      <c r="E21" s="132">
        <v>0.5868055555555556</v>
      </c>
      <c r="F21" s="131" t="s">
        <v>128</v>
      </c>
      <c r="G21" s="133"/>
      <c r="H21" s="133"/>
      <c r="I21" s="133"/>
      <c r="J21" s="134">
        <f t="shared" si="1"/>
        <v>0.003472222222</v>
      </c>
    </row>
    <row r="22">
      <c r="A22" s="129">
        <v>18.0</v>
      </c>
      <c r="B22" s="130">
        <v>46119.0</v>
      </c>
      <c r="C22" s="131" t="s">
        <v>45</v>
      </c>
      <c r="D22" s="132">
        <v>0.5868055555555556</v>
      </c>
      <c r="E22" s="132">
        <v>0.5902777777777778</v>
      </c>
      <c r="F22" s="131" t="s">
        <v>128</v>
      </c>
      <c r="G22" s="133"/>
      <c r="H22" s="133"/>
      <c r="I22" s="133"/>
      <c r="J22" s="134">
        <f t="shared" si="1"/>
        <v>0.003472222222</v>
      </c>
    </row>
    <row r="23">
      <c r="A23" s="129">
        <v>19.0</v>
      </c>
      <c r="B23" s="130">
        <v>46119.0</v>
      </c>
      <c r="C23" s="131" t="s">
        <v>45</v>
      </c>
      <c r="D23" s="132">
        <v>0.5902777777777778</v>
      </c>
      <c r="E23" s="132">
        <v>0.59375</v>
      </c>
      <c r="F23" s="131" t="s">
        <v>128</v>
      </c>
      <c r="G23" s="133"/>
      <c r="H23" s="133"/>
      <c r="I23" s="133"/>
      <c r="J23" s="134">
        <f t="shared" si="1"/>
        <v>0.003472222222</v>
      </c>
    </row>
    <row r="24">
      <c r="A24" s="129">
        <v>20.0</v>
      </c>
      <c r="B24" s="130">
        <v>46119.0</v>
      </c>
      <c r="C24" s="131" t="s">
        <v>45</v>
      </c>
      <c r="D24" s="132">
        <v>0.6270833333333333</v>
      </c>
      <c r="E24" s="132">
        <v>0.6305555555555555</v>
      </c>
      <c r="F24" s="131" t="s">
        <v>128</v>
      </c>
      <c r="G24" s="133"/>
      <c r="H24" s="133"/>
      <c r="I24" s="133"/>
      <c r="J24" s="134">
        <f t="shared" si="1"/>
        <v>0.003472222222</v>
      </c>
    </row>
    <row r="25">
      <c r="A25" s="129">
        <v>21.0</v>
      </c>
      <c r="B25" s="130">
        <v>46119.0</v>
      </c>
      <c r="C25" s="131" t="s">
        <v>45</v>
      </c>
      <c r="D25" s="132">
        <v>0.6305555555555555</v>
      </c>
      <c r="E25" s="132">
        <v>0.6347222222222222</v>
      </c>
      <c r="F25" s="131" t="s">
        <v>128</v>
      </c>
      <c r="G25" s="133"/>
      <c r="H25" s="133"/>
      <c r="I25" s="133"/>
      <c r="J25" s="134">
        <f t="shared" si="1"/>
        <v>0.004166666667</v>
      </c>
    </row>
    <row r="26">
      <c r="A26" s="129">
        <v>22.0</v>
      </c>
      <c r="B26" s="130">
        <v>46119.0</v>
      </c>
      <c r="C26" s="131" t="s">
        <v>45</v>
      </c>
      <c r="D26" s="132">
        <v>0.6472222222222223</v>
      </c>
      <c r="E26" s="132">
        <v>0.6506944444444445</v>
      </c>
      <c r="F26" s="131" t="s">
        <v>128</v>
      </c>
      <c r="G26" s="133"/>
      <c r="H26" s="133"/>
      <c r="I26" s="133"/>
      <c r="J26" s="134">
        <f t="shared" si="1"/>
        <v>0.003472222222</v>
      </c>
    </row>
    <row r="27">
      <c r="A27" s="129">
        <v>23.0</v>
      </c>
      <c r="B27" s="130">
        <v>46119.0</v>
      </c>
      <c r="C27" s="131" t="s">
        <v>45</v>
      </c>
      <c r="D27" s="132">
        <v>0.6506944444444445</v>
      </c>
      <c r="E27" s="132">
        <v>0.6541666666666667</v>
      </c>
      <c r="F27" s="131" t="s">
        <v>128</v>
      </c>
      <c r="G27" s="133"/>
      <c r="H27" s="133"/>
      <c r="I27" s="133"/>
      <c r="J27" s="134">
        <f t="shared" si="1"/>
        <v>0.003472222222</v>
      </c>
    </row>
    <row r="28">
      <c r="A28" s="129">
        <v>24.0</v>
      </c>
      <c r="B28" s="130">
        <v>46119.0</v>
      </c>
      <c r="C28" s="131" t="s">
        <v>45</v>
      </c>
      <c r="D28" s="132">
        <v>0.6541666666666667</v>
      </c>
      <c r="E28" s="132">
        <v>0.6576388888888889</v>
      </c>
      <c r="F28" s="131" t="s">
        <v>128</v>
      </c>
      <c r="G28" s="133"/>
      <c r="H28" s="133"/>
      <c r="I28" s="133"/>
      <c r="J28" s="134">
        <f t="shared" si="1"/>
        <v>0.003472222222</v>
      </c>
    </row>
    <row r="29">
      <c r="A29" s="129">
        <v>25.0</v>
      </c>
      <c r="B29" s="133"/>
      <c r="C29" s="133"/>
      <c r="D29" s="132">
        <v>0.0</v>
      </c>
      <c r="E29" s="132">
        <v>0.0</v>
      </c>
      <c r="F29" s="131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33"/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33"/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33"/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33"/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33"/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33"/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33"/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33"/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33"/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33"/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33"/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33"/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33"/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33"/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33"/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33"/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33"/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33"/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33"/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33"/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33"/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33"/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33"/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33"/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33"/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33"/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33"/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33"/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33"/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33"/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33"/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33"/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33"/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33"/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33"/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33"/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33"/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33"/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33"/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33"/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3"/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3"/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3"/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3"/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3"/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3"/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3"/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3"/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3"/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3"/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3"/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3"/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G16">
    <cfRule type="notContainsBlanks" dxfId="2" priority="1">
      <formula>LEN(TRIM(G16))&gt;0</formula>
    </cfRule>
  </conditionalFormatting>
  <conditionalFormatting sqref="F5:F125">
    <cfRule type="containsText" dxfId="7" priority="2" operator="containsText" text="oui">
      <formula>NOT(ISERROR(SEARCH(("oui"),(F5))))</formula>
    </cfRule>
  </conditionalFormatting>
  <conditionalFormatting sqref="F5:F125">
    <cfRule type="containsText" dxfId="6" priority="3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5" max="5" width="20.0"/>
    <col customWidth="1" min="6" max="6" width="12.13"/>
    <col customWidth="1" min="9" max="9" width="14.0"/>
    <col customWidth="1" min="12" max="12" width="28.75"/>
    <col customWidth="1" min="13" max="14" width="22.25"/>
  </cols>
  <sheetData>
    <row r="1">
      <c r="A1" s="119" t="s">
        <v>134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23" t="s">
        <v>117</v>
      </c>
      <c r="B3" s="124" t="s">
        <v>118</v>
      </c>
      <c r="C3" s="124" t="s">
        <v>119</v>
      </c>
      <c r="D3" s="125" t="s">
        <v>120</v>
      </c>
      <c r="E3" s="125" t="s">
        <v>121</v>
      </c>
      <c r="F3" s="126" t="s">
        <v>122</v>
      </c>
      <c r="G3" s="127" t="s">
        <v>123</v>
      </c>
      <c r="H3" s="127" t="s">
        <v>124</v>
      </c>
      <c r="I3" s="124" t="s">
        <v>125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29">
        <v>1.0</v>
      </c>
      <c r="B5" s="133"/>
      <c r="C5" s="133"/>
      <c r="D5" s="132">
        <v>0.0</v>
      </c>
      <c r="E5" s="132">
        <v>0.0</v>
      </c>
      <c r="F5" s="131"/>
      <c r="G5" s="133"/>
      <c r="H5" s="133"/>
      <c r="I5" s="133"/>
      <c r="J5" s="134">
        <f t="shared" ref="J5:J81" si="1">E5-D5</f>
        <v>0</v>
      </c>
    </row>
    <row r="6">
      <c r="A6" s="129">
        <v>2.0</v>
      </c>
      <c r="B6" s="133"/>
      <c r="C6" s="133"/>
      <c r="D6" s="132">
        <v>0.0</v>
      </c>
      <c r="E6" s="132">
        <v>0.0</v>
      </c>
      <c r="F6" s="131"/>
      <c r="G6" s="133"/>
      <c r="H6" s="133"/>
      <c r="I6" s="133"/>
      <c r="J6" s="134">
        <f t="shared" si="1"/>
        <v>0</v>
      </c>
    </row>
    <row r="7">
      <c r="A7" s="129">
        <v>3.0</v>
      </c>
      <c r="B7" s="133"/>
      <c r="C7" s="133"/>
      <c r="D7" s="132">
        <v>0.0</v>
      </c>
      <c r="E7" s="132">
        <v>0.0</v>
      </c>
      <c r="F7" s="131"/>
      <c r="G7" s="133"/>
      <c r="H7" s="133"/>
      <c r="I7" s="133"/>
      <c r="J7" s="134">
        <f t="shared" si="1"/>
        <v>0</v>
      </c>
    </row>
    <row r="8">
      <c r="A8" s="129">
        <v>4.0</v>
      </c>
      <c r="B8" s="133"/>
      <c r="C8" s="133"/>
      <c r="D8" s="132">
        <v>0.0</v>
      </c>
      <c r="E8" s="132">
        <v>0.0</v>
      </c>
      <c r="F8" s="131"/>
      <c r="G8" s="133"/>
      <c r="H8" s="133"/>
      <c r="I8" s="133"/>
      <c r="J8" s="134">
        <f t="shared" si="1"/>
        <v>0</v>
      </c>
    </row>
    <row r="9">
      <c r="A9" s="129">
        <v>5.0</v>
      </c>
      <c r="B9" s="133"/>
      <c r="C9" s="133"/>
      <c r="D9" s="132">
        <v>0.0</v>
      </c>
      <c r="E9" s="132">
        <v>0.0</v>
      </c>
      <c r="F9" s="131"/>
      <c r="G9" s="133"/>
      <c r="H9" s="133"/>
      <c r="I9" s="133"/>
      <c r="J9" s="134">
        <f t="shared" si="1"/>
        <v>0</v>
      </c>
    </row>
    <row r="10">
      <c r="A10" s="129">
        <v>6.0</v>
      </c>
      <c r="B10" s="133"/>
      <c r="C10" s="133"/>
      <c r="D10" s="132">
        <v>0.0</v>
      </c>
      <c r="E10" s="132">
        <v>0.0</v>
      </c>
      <c r="F10" s="131"/>
      <c r="G10" s="133"/>
      <c r="H10" s="133"/>
      <c r="I10" s="133"/>
      <c r="J10" s="134">
        <f t="shared" si="1"/>
        <v>0</v>
      </c>
    </row>
    <row r="11">
      <c r="A11" s="129">
        <v>7.0</v>
      </c>
      <c r="B11" s="133"/>
      <c r="C11" s="133"/>
      <c r="D11" s="132">
        <v>0.0</v>
      </c>
      <c r="E11" s="132">
        <v>0.0</v>
      </c>
      <c r="F11" s="131"/>
      <c r="G11" s="133"/>
      <c r="H11" s="133"/>
      <c r="I11" s="133"/>
      <c r="J11" s="134">
        <f t="shared" si="1"/>
        <v>0</v>
      </c>
    </row>
    <row r="12">
      <c r="A12" s="129">
        <v>8.0</v>
      </c>
      <c r="B12" s="133"/>
      <c r="C12" s="133"/>
      <c r="D12" s="132">
        <v>0.0</v>
      </c>
      <c r="E12" s="132">
        <v>0.0</v>
      </c>
      <c r="F12" s="131"/>
      <c r="G12" s="133"/>
      <c r="H12" s="133"/>
      <c r="I12" s="133"/>
      <c r="J12" s="134">
        <f t="shared" si="1"/>
        <v>0</v>
      </c>
    </row>
    <row r="13">
      <c r="A13" s="129">
        <v>9.0</v>
      </c>
      <c r="B13" s="133"/>
      <c r="C13" s="133"/>
      <c r="D13" s="132">
        <v>0.0</v>
      </c>
      <c r="E13" s="132">
        <v>0.0</v>
      </c>
      <c r="F13" s="131"/>
      <c r="G13" s="133"/>
      <c r="H13" s="133"/>
      <c r="I13" s="133"/>
      <c r="J13" s="134">
        <f t="shared" si="1"/>
        <v>0</v>
      </c>
    </row>
    <row r="14">
      <c r="A14" s="129">
        <v>10.0</v>
      </c>
      <c r="B14" s="133"/>
      <c r="C14" s="133"/>
      <c r="D14" s="132">
        <v>0.0</v>
      </c>
      <c r="E14" s="132">
        <v>0.0</v>
      </c>
      <c r="F14" s="131"/>
      <c r="G14" s="133"/>
      <c r="H14" s="133"/>
      <c r="I14" s="133"/>
      <c r="J14" s="134">
        <f t="shared" si="1"/>
        <v>0</v>
      </c>
    </row>
    <row r="15">
      <c r="A15" s="129">
        <v>11.0</v>
      </c>
      <c r="B15" s="133"/>
      <c r="C15" s="133"/>
      <c r="D15" s="132">
        <v>0.0</v>
      </c>
      <c r="E15" s="132">
        <v>0.0</v>
      </c>
      <c r="F15" s="131"/>
      <c r="G15" s="133"/>
      <c r="H15" s="133"/>
      <c r="I15" s="133"/>
      <c r="J15" s="134">
        <f t="shared" si="1"/>
        <v>0</v>
      </c>
    </row>
    <row r="16">
      <c r="A16" s="129">
        <v>12.0</v>
      </c>
      <c r="B16" s="133"/>
      <c r="C16" s="133"/>
      <c r="D16" s="132">
        <v>0.0</v>
      </c>
      <c r="E16" s="132">
        <v>0.0</v>
      </c>
      <c r="F16" s="131"/>
      <c r="G16" s="133"/>
      <c r="H16" s="133"/>
      <c r="I16" s="133"/>
      <c r="J16" s="134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29">
        <v>13.0</v>
      </c>
      <c r="B17" s="133"/>
      <c r="C17" s="133"/>
      <c r="D17" s="132">
        <v>0.0</v>
      </c>
      <c r="E17" s="132">
        <v>0.0</v>
      </c>
      <c r="F17" s="140"/>
      <c r="G17" s="133"/>
      <c r="H17" s="133"/>
      <c r="I17" s="133"/>
      <c r="J17" s="134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137" t="str">
        <f>(L17-M17)/L17</f>
        <v>#DIV/0!</v>
      </c>
      <c r="P17" s="139" t="str">
        <f>AVERAGEIF(J$5:J$200,"&lt;&gt;0")</f>
        <v>#DIV/0!</v>
      </c>
    </row>
    <row r="18">
      <c r="A18" s="129">
        <v>14.0</v>
      </c>
      <c r="B18" s="133"/>
      <c r="C18" s="133"/>
      <c r="D18" s="132">
        <v>0.0</v>
      </c>
      <c r="E18" s="132">
        <v>0.0</v>
      </c>
      <c r="F18" s="140"/>
      <c r="G18" s="133"/>
      <c r="H18" s="133"/>
      <c r="I18" s="133"/>
      <c r="J18" s="134">
        <f t="shared" si="1"/>
        <v>0</v>
      </c>
    </row>
    <row r="19">
      <c r="A19" s="129">
        <v>15.0</v>
      </c>
      <c r="B19" s="133"/>
      <c r="C19" s="133"/>
      <c r="D19" s="132">
        <v>0.0</v>
      </c>
      <c r="E19" s="132">
        <v>0.0</v>
      </c>
      <c r="F19" s="140"/>
      <c r="G19" s="133"/>
      <c r="H19" s="133"/>
      <c r="I19" s="133"/>
      <c r="J19" s="134">
        <f t="shared" si="1"/>
        <v>0</v>
      </c>
    </row>
    <row r="20">
      <c r="A20" s="129">
        <v>16.0</v>
      </c>
      <c r="B20" s="133"/>
      <c r="C20" s="133"/>
      <c r="D20" s="132">
        <v>0.0</v>
      </c>
      <c r="E20" s="132">
        <v>0.0</v>
      </c>
      <c r="F20" s="140"/>
      <c r="G20" s="133"/>
      <c r="H20" s="133"/>
      <c r="I20" s="133"/>
      <c r="J20" s="134">
        <f t="shared" si="1"/>
        <v>0</v>
      </c>
    </row>
    <row r="21">
      <c r="A21" s="129">
        <v>17.0</v>
      </c>
      <c r="B21" s="133"/>
      <c r="C21" s="133"/>
      <c r="D21" s="132">
        <v>0.0</v>
      </c>
      <c r="E21" s="132">
        <v>0.0</v>
      </c>
      <c r="F21" s="140"/>
      <c r="G21" s="133"/>
      <c r="H21" s="133"/>
      <c r="I21" s="133"/>
      <c r="J21" s="134">
        <f t="shared" si="1"/>
        <v>0</v>
      </c>
    </row>
    <row r="22">
      <c r="A22" s="129">
        <v>18.0</v>
      </c>
      <c r="B22" s="133"/>
      <c r="C22" s="133"/>
      <c r="D22" s="132">
        <v>0.0</v>
      </c>
      <c r="E22" s="132">
        <v>0.0</v>
      </c>
      <c r="F22" s="140"/>
      <c r="G22" s="133"/>
      <c r="H22" s="133"/>
      <c r="I22" s="133"/>
      <c r="J22" s="134">
        <f t="shared" si="1"/>
        <v>0</v>
      </c>
    </row>
    <row r="23">
      <c r="A23" s="129">
        <v>19.0</v>
      </c>
      <c r="B23" s="133"/>
      <c r="C23" s="133"/>
      <c r="D23" s="132">
        <v>0.0</v>
      </c>
      <c r="E23" s="132">
        <v>0.0</v>
      </c>
      <c r="F23" s="140"/>
      <c r="G23" s="133"/>
      <c r="H23" s="133"/>
      <c r="I23" s="133"/>
      <c r="J23" s="134">
        <f t="shared" si="1"/>
        <v>0</v>
      </c>
    </row>
    <row r="24">
      <c r="A24" s="129">
        <v>20.0</v>
      </c>
      <c r="B24" s="133"/>
      <c r="C24" s="133"/>
      <c r="D24" s="132">
        <v>0.0</v>
      </c>
      <c r="E24" s="132">
        <v>0.0</v>
      </c>
      <c r="F24" s="140"/>
      <c r="G24" s="133"/>
      <c r="H24" s="133"/>
      <c r="I24" s="133"/>
      <c r="J24" s="134">
        <f t="shared" si="1"/>
        <v>0</v>
      </c>
    </row>
    <row r="25">
      <c r="A25" s="129">
        <v>21.0</v>
      </c>
      <c r="B25" s="133"/>
      <c r="C25" s="133"/>
      <c r="D25" s="132">
        <v>0.0</v>
      </c>
      <c r="E25" s="132">
        <v>0.0</v>
      </c>
      <c r="F25" s="140"/>
      <c r="G25" s="133"/>
      <c r="H25" s="133"/>
      <c r="I25" s="133"/>
      <c r="J25" s="134">
        <f t="shared" si="1"/>
        <v>0</v>
      </c>
    </row>
    <row r="26">
      <c r="A26" s="129">
        <v>22.0</v>
      </c>
      <c r="B26" s="133"/>
      <c r="C26" s="133"/>
      <c r="D26" s="132">
        <v>0.0</v>
      </c>
      <c r="E26" s="132">
        <v>0.0</v>
      </c>
      <c r="F26" s="140"/>
      <c r="G26" s="133"/>
      <c r="H26" s="133"/>
      <c r="I26" s="133"/>
      <c r="J26" s="134">
        <f t="shared" si="1"/>
        <v>0</v>
      </c>
    </row>
    <row r="27">
      <c r="A27" s="129">
        <v>23.0</v>
      </c>
      <c r="B27" s="133"/>
      <c r="C27" s="133"/>
      <c r="D27" s="132">
        <v>0.0</v>
      </c>
      <c r="E27" s="132">
        <v>0.0</v>
      </c>
      <c r="F27" s="140"/>
      <c r="G27" s="133"/>
      <c r="H27" s="133"/>
      <c r="I27" s="133"/>
      <c r="J27" s="134">
        <f t="shared" si="1"/>
        <v>0</v>
      </c>
    </row>
    <row r="28">
      <c r="A28" s="129">
        <v>24.0</v>
      </c>
      <c r="B28" s="133"/>
      <c r="C28" s="133"/>
      <c r="D28" s="132">
        <v>0.0</v>
      </c>
      <c r="E28" s="132">
        <v>0.0</v>
      </c>
      <c r="F28" s="131"/>
      <c r="G28" s="133"/>
      <c r="H28" s="133"/>
      <c r="I28" s="133"/>
      <c r="J28" s="134">
        <f t="shared" si="1"/>
        <v>0</v>
      </c>
    </row>
    <row r="29">
      <c r="A29" s="129">
        <v>25.0</v>
      </c>
      <c r="B29" s="133"/>
      <c r="C29" s="133"/>
      <c r="D29" s="132">
        <v>0.0</v>
      </c>
      <c r="E29" s="132">
        <v>0.0</v>
      </c>
      <c r="F29" s="131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33"/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33"/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33"/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33"/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33"/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33"/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33"/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33"/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33"/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33"/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33"/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33"/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33"/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33"/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33"/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33"/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33"/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33"/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33"/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33"/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33"/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33"/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33"/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33"/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33"/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33"/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33"/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33"/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33"/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33"/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33"/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33"/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33"/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33"/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33"/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33"/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33"/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33"/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33"/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33"/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3"/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3"/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3"/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3"/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3"/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3"/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3"/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3"/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3"/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3"/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3"/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3"/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G16">
    <cfRule type="notContainsBlanks" dxfId="2" priority="1">
      <formula>LEN(TRIM(G16))&gt;0</formula>
    </cfRule>
  </conditionalFormatting>
  <conditionalFormatting sqref="F5:F116 D31:D81">
    <cfRule type="containsText" dxfId="7" priority="2" operator="containsText" text="oui">
      <formula>NOT(ISERROR(SEARCH(("oui"),(F5))))</formula>
    </cfRule>
  </conditionalFormatting>
  <conditionalFormatting sqref="F5:F116 D31:D81">
    <cfRule type="containsText" dxfId="6" priority="3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8.13"/>
    <col customWidth="1" min="10" max="10" width="14.0"/>
    <col customWidth="1" min="12" max="12" width="30.13"/>
    <col customWidth="1" min="13" max="13" width="28.63"/>
    <col customWidth="1" min="14" max="14" width="17.75"/>
  </cols>
  <sheetData>
    <row r="1">
      <c r="A1" s="119" t="s">
        <v>135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23" t="s">
        <v>117</v>
      </c>
      <c r="B3" s="124" t="s">
        <v>118</v>
      </c>
      <c r="C3" s="124" t="s">
        <v>119</v>
      </c>
      <c r="D3" s="125" t="s">
        <v>120</v>
      </c>
      <c r="E3" s="125" t="s">
        <v>121</v>
      </c>
      <c r="F3" s="126" t="s">
        <v>122</v>
      </c>
      <c r="G3" s="127" t="s">
        <v>123</v>
      </c>
      <c r="H3" s="127" t="s">
        <v>124</v>
      </c>
      <c r="I3" s="124" t="s">
        <v>125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29">
        <v>1.0</v>
      </c>
      <c r="B5" s="133"/>
      <c r="C5" s="133"/>
      <c r="D5" s="132">
        <v>0.0</v>
      </c>
      <c r="E5" s="132">
        <v>0.0</v>
      </c>
      <c r="F5" s="131"/>
      <c r="G5" s="133"/>
      <c r="H5" s="133"/>
      <c r="I5" s="133"/>
      <c r="J5" s="134">
        <f t="shared" ref="J5:J81" si="1">E5-D5</f>
        <v>0</v>
      </c>
    </row>
    <row r="6">
      <c r="A6" s="129">
        <v>2.0</v>
      </c>
      <c r="B6" s="133"/>
      <c r="C6" s="133"/>
      <c r="D6" s="132">
        <v>0.0</v>
      </c>
      <c r="E6" s="132">
        <v>0.0</v>
      </c>
      <c r="F6" s="131"/>
      <c r="G6" s="133"/>
      <c r="H6" s="133"/>
      <c r="I6" s="133"/>
      <c r="J6" s="134">
        <f t="shared" si="1"/>
        <v>0</v>
      </c>
    </row>
    <row r="7">
      <c r="A7" s="129">
        <v>3.0</v>
      </c>
      <c r="B7" s="133"/>
      <c r="C7" s="133"/>
      <c r="D7" s="132">
        <v>0.0</v>
      </c>
      <c r="E7" s="132">
        <v>0.0</v>
      </c>
      <c r="F7" s="131"/>
      <c r="G7" s="133"/>
      <c r="H7" s="133"/>
      <c r="I7" s="133"/>
      <c r="J7" s="134">
        <f t="shared" si="1"/>
        <v>0</v>
      </c>
    </row>
    <row r="8">
      <c r="A8" s="129">
        <v>4.0</v>
      </c>
      <c r="B8" s="133"/>
      <c r="C8" s="133"/>
      <c r="D8" s="132">
        <v>0.0</v>
      </c>
      <c r="E8" s="132">
        <v>0.0</v>
      </c>
      <c r="F8" s="131"/>
      <c r="G8" s="133"/>
      <c r="H8" s="133"/>
      <c r="I8" s="133"/>
      <c r="J8" s="134">
        <f t="shared" si="1"/>
        <v>0</v>
      </c>
    </row>
    <row r="9">
      <c r="A9" s="129">
        <v>5.0</v>
      </c>
      <c r="B9" s="133"/>
      <c r="C9" s="133"/>
      <c r="D9" s="132">
        <v>0.0</v>
      </c>
      <c r="E9" s="132">
        <v>0.0</v>
      </c>
      <c r="F9" s="131"/>
      <c r="G9" s="133"/>
      <c r="H9" s="133"/>
      <c r="I9" s="133"/>
      <c r="J9" s="134">
        <f t="shared" si="1"/>
        <v>0</v>
      </c>
    </row>
    <row r="10">
      <c r="A10" s="129">
        <v>6.0</v>
      </c>
      <c r="B10" s="133"/>
      <c r="C10" s="133"/>
      <c r="D10" s="132">
        <v>0.0</v>
      </c>
      <c r="E10" s="132">
        <v>0.0</v>
      </c>
      <c r="F10" s="131"/>
      <c r="G10" s="133"/>
      <c r="H10" s="133"/>
      <c r="I10" s="133"/>
      <c r="J10" s="134">
        <f t="shared" si="1"/>
        <v>0</v>
      </c>
    </row>
    <row r="11">
      <c r="A11" s="129">
        <v>7.0</v>
      </c>
      <c r="B11" s="133"/>
      <c r="C11" s="133"/>
      <c r="D11" s="132">
        <v>0.0</v>
      </c>
      <c r="E11" s="132">
        <v>0.0</v>
      </c>
      <c r="F11" s="131"/>
      <c r="G11" s="133"/>
      <c r="H11" s="133"/>
      <c r="I11" s="133"/>
      <c r="J11" s="134">
        <f t="shared" si="1"/>
        <v>0</v>
      </c>
    </row>
    <row r="12">
      <c r="A12" s="129">
        <v>8.0</v>
      </c>
      <c r="B12" s="133"/>
      <c r="C12" s="133"/>
      <c r="D12" s="132">
        <v>0.0</v>
      </c>
      <c r="E12" s="132">
        <v>0.0</v>
      </c>
      <c r="F12" s="131"/>
      <c r="G12" s="133"/>
      <c r="H12" s="133"/>
      <c r="I12" s="133"/>
      <c r="J12" s="134">
        <f t="shared" si="1"/>
        <v>0</v>
      </c>
    </row>
    <row r="13">
      <c r="A13" s="129">
        <v>9.0</v>
      </c>
      <c r="B13" s="133"/>
      <c r="C13" s="133"/>
      <c r="D13" s="132">
        <v>0.0</v>
      </c>
      <c r="E13" s="132">
        <v>0.0</v>
      </c>
      <c r="F13" s="131"/>
      <c r="G13" s="133"/>
      <c r="H13" s="133"/>
      <c r="I13" s="133"/>
      <c r="J13" s="134">
        <f t="shared" si="1"/>
        <v>0</v>
      </c>
    </row>
    <row r="14">
      <c r="A14" s="129">
        <v>10.0</v>
      </c>
      <c r="B14" s="133"/>
      <c r="C14" s="133"/>
      <c r="D14" s="132">
        <v>0.0</v>
      </c>
      <c r="E14" s="132">
        <v>0.0</v>
      </c>
      <c r="F14" s="131"/>
      <c r="G14" s="133"/>
      <c r="H14" s="133"/>
      <c r="I14" s="133"/>
      <c r="J14" s="134">
        <f t="shared" si="1"/>
        <v>0</v>
      </c>
    </row>
    <row r="15">
      <c r="A15" s="129">
        <v>11.0</v>
      </c>
      <c r="B15" s="133"/>
      <c r="C15" s="133"/>
      <c r="D15" s="132">
        <v>0.0</v>
      </c>
      <c r="E15" s="132">
        <v>0.0</v>
      </c>
      <c r="F15" s="131"/>
      <c r="G15" s="133"/>
      <c r="H15" s="133"/>
      <c r="I15" s="133"/>
      <c r="J15" s="134">
        <f t="shared" si="1"/>
        <v>0</v>
      </c>
    </row>
    <row r="16">
      <c r="A16" s="129">
        <v>12.0</v>
      </c>
      <c r="B16" s="133"/>
      <c r="C16" s="133"/>
      <c r="D16" s="132">
        <v>0.0</v>
      </c>
      <c r="E16" s="132">
        <v>0.0</v>
      </c>
      <c r="F16" s="131"/>
      <c r="G16" s="133"/>
      <c r="H16" s="133"/>
      <c r="I16" s="133"/>
      <c r="J16" s="134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29">
        <v>13.0</v>
      </c>
      <c r="B17" s="133"/>
      <c r="C17" s="133"/>
      <c r="D17" s="132">
        <v>0.0</v>
      </c>
      <c r="E17" s="132">
        <v>0.0</v>
      </c>
      <c r="F17" s="140"/>
      <c r="G17" s="133"/>
      <c r="H17" s="133"/>
      <c r="I17" s="133"/>
      <c r="J17" s="134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137" t="str">
        <f>(L17-M17)/L17</f>
        <v>#DIV/0!</v>
      </c>
      <c r="P17" s="139" t="str">
        <f>AVERAGEIF(J$5:J$200,"&lt;&gt;0")</f>
        <v>#DIV/0!</v>
      </c>
    </row>
    <row r="18">
      <c r="A18" s="129">
        <v>14.0</v>
      </c>
      <c r="B18" s="133"/>
      <c r="C18" s="133"/>
      <c r="D18" s="132">
        <v>0.0</v>
      </c>
      <c r="E18" s="132">
        <v>0.0</v>
      </c>
      <c r="F18" s="140"/>
      <c r="G18" s="133"/>
      <c r="H18" s="133"/>
      <c r="I18" s="133"/>
      <c r="J18" s="134">
        <f t="shared" si="1"/>
        <v>0</v>
      </c>
    </row>
    <row r="19">
      <c r="A19" s="129">
        <v>15.0</v>
      </c>
      <c r="B19" s="133"/>
      <c r="C19" s="133"/>
      <c r="D19" s="132">
        <v>0.0</v>
      </c>
      <c r="E19" s="132">
        <v>0.0</v>
      </c>
      <c r="F19" s="140"/>
      <c r="G19" s="133"/>
      <c r="H19" s="133"/>
      <c r="I19" s="133"/>
      <c r="J19" s="134">
        <f t="shared" si="1"/>
        <v>0</v>
      </c>
    </row>
    <row r="20">
      <c r="A20" s="129">
        <v>16.0</v>
      </c>
      <c r="B20" s="133"/>
      <c r="C20" s="133"/>
      <c r="D20" s="132">
        <v>0.0</v>
      </c>
      <c r="E20" s="132">
        <v>0.0</v>
      </c>
      <c r="F20" s="140"/>
      <c r="G20" s="133"/>
      <c r="H20" s="133"/>
      <c r="I20" s="133"/>
      <c r="J20" s="134">
        <f t="shared" si="1"/>
        <v>0</v>
      </c>
    </row>
    <row r="21">
      <c r="A21" s="129">
        <v>17.0</v>
      </c>
      <c r="B21" s="133"/>
      <c r="C21" s="133"/>
      <c r="D21" s="132">
        <v>0.0</v>
      </c>
      <c r="E21" s="132">
        <v>0.0</v>
      </c>
      <c r="F21" s="140"/>
      <c r="G21" s="133"/>
      <c r="H21" s="133"/>
      <c r="I21" s="133"/>
      <c r="J21" s="134">
        <f t="shared" si="1"/>
        <v>0</v>
      </c>
    </row>
    <row r="22">
      <c r="A22" s="129">
        <v>18.0</v>
      </c>
      <c r="B22" s="133"/>
      <c r="C22" s="133"/>
      <c r="D22" s="132">
        <v>0.0</v>
      </c>
      <c r="E22" s="132">
        <v>0.0</v>
      </c>
      <c r="F22" s="140"/>
      <c r="G22" s="133"/>
      <c r="H22" s="133"/>
      <c r="I22" s="133"/>
      <c r="J22" s="134">
        <f t="shared" si="1"/>
        <v>0</v>
      </c>
    </row>
    <row r="23">
      <c r="A23" s="129">
        <v>19.0</v>
      </c>
      <c r="B23" s="133"/>
      <c r="C23" s="133"/>
      <c r="D23" s="132">
        <v>0.0</v>
      </c>
      <c r="E23" s="132">
        <v>0.0</v>
      </c>
      <c r="F23" s="140"/>
      <c r="G23" s="133"/>
      <c r="H23" s="133"/>
      <c r="I23" s="133"/>
      <c r="J23" s="134">
        <f t="shared" si="1"/>
        <v>0</v>
      </c>
    </row>
    <row r="24">
      <c r="A24" s="129">
        <v>20.0</v>
      </c>
      <c r="B24" s="133"/>
      <c r="C24" s="133"/>
      <c r="D24" s="132">
        <v>0.0</v>
      </c>
      <c r="E24" s="132">
        <v>0.0</v>
      </c>
      <c r="F24" s="140"/>
      <c r="G24" s="133"/>
      <c r="H24" s="133"/>
      <c r="I24" s="133"/>
      <c r="J24" s="134">
        <f t="shared" si="1"/>
        <v>0</v>
      </c>
    </row>
    <row r="25">
      <c r="A25" s="129">
        <v>21.0</v>
      </c>
      <c r="B25" s="133"/>
      <c r="C25" s="133"/>
      <c r="D25" s="132">
        <v>0.0</v>
      </c>
      <c r="E25" s="132">
        <v>0.0</v>
      </c>
      <c r="F25" s="140"/>
      <c r="G25" s="133"/>
      <c r="H25" s="133"/>
      <c r="I25" s="133"/>
      <c r="J25" s="134">
        <f t="shared" si="1"/>
        <v>0</v>
      </c>
    </row>
    <row r="26">
      <c r="A26" s="129">
        <v>22.0</v>
      </c>
      <c r="B26" s="133"/>
      <c r="C26" s="133"/>
      <c r="D26" s="132">
        <v>0.0</v>
      </c>
      <c r="E26" s="132">
        <v>0.0</v>
      </c>
      <c r="F26" s="140"/>
      <c r="G26" s="133"/>
      <c r="H26" s="133"/>
      <c r="I26" s="133"/>
      <c r="J26" s="134">
        <f t="shared" si="1"/>
        <v>0</v>
      </c>
    </row>
    <row r="27">
      <c r="A27" s="129">
        <v>23.0</v>
      </c>
      <c r="B27" s="133"/>
      <c r="C27" s="133"/>
      <c r="D27" s="132">
        <v>0.0</v>
      </c>
      <c r="E27" s="132">
        <v>0.0</v>
      </c>
      <c r="F27" s="140"/>
      <c r="G27" s="133"/>
      <c r="H27" s="133"/>
      <c r="I27" s="133"/>
      <c r="J27" s="134">
        <f t="shared" si="1"/>
        <v>0</v>
      </c>
    </row>
    <row r="28">
      <c r="A28" s="129">
        <v>24.0</v>
      </c>
      <c r="B28" s="133"/>
      <c r="C28" s="133"/>
      <c r="D28" s="132">
        <v>0.0</v>
      </c>
      <c r="E28" s="132">
        <v>0.0</v>
      </c>
      <c r="F28" s="131"/>
      <c r="G28" s="133"/>
      <c r="H28" s="133"/>
      <c r="I28" s="133"/>
      <c r="J28" s="134">
        <f t="shared" si="1"/>
        <v>0</v>
      </c>
    </row>
    <row r="29">
      <c r="A29" s="129">
        <v>25.0</v>
      </c>
      <c r="B29" s="133"/>
      <c r="C29" s="133"/>
      <c r="D29" s="132">
        <v>0.0</v>
      </c>
      <c r="E29" s="132">
        <v>0.0</v>
      </c>
      <c r="F29" s="131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33"/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33"/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33"/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33"/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33"/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33"/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33"/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33"/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33"/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33"/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33"/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33"/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33"/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33"/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33"/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33"/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33"/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33"/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33"/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33"/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33"/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33"/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33"/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33"/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33"/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33"/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33"/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33"/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33"/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33"/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33"/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33"/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33"/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33"/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33"/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33"/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33"/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33"/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33"/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33"/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3"/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3"/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3"/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3"/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3"/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3"/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3"/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3"/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3"/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3"/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3"/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3"/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G16">
    <cfRule type="notContainsBlanks" dxfId="2" priority="1">
      <formula>LEN(TRIM(G16))&gt;0</formula>
    </cfRule>
  </conditionalFormatting>
  <conditionalFormatting sqref="F5:F138">
    <cfRule type="containsText" dxfId="7" priority="2" operator="containsText" text="oui">
      <formula>NOT(ISERROR(SEARCH(("oui"),(F5))))</formula>
    </cfRule>
  </conditionalFormatting>
  <conditionalFormatting sqref="F5:F138">
    <cfRule type="containsText" dxfId="6" priority="3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5" max="5" width="17.0"/>
    <col customWidth="1" min="10" max="10" width="14.0"/>
    <col customWidth="1" min="12" max="12" width="34.63"/>
    <col customWidth="1" min="13" max="13" width="23.75"/>
    <col customWidth="1" min="14" max="14" width="34.25"/>
  </cols>
  <sheetData>
    <row r="1">
      <c r="A1" s="119" t="s">
        <v>136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23" t="s">
        <v>117</v>
      </c>
      <c r="B3" s="124" t="s">
        <v>118</v>
      </c>
      <c r="C3" s="124" t="s">
        <v>119</v>
      </c>
      <c r="D3" s="125" t="s">
        <v>120</v>
      </c>
      <c r="E3" s="125" t="s">
        <v>121</v>
      </c>
      <c r="F3" s="126" t="s">
        <v>122</v>
      </c>
      <c r="G3" s="127" t="s">
        <v>123</v>
      </c>
      <c r="H3" s="127" t="s">
        <v>124</v>
      </c>
      <c r="I3" s="124" t="s">
        <v>125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29">
        <v>1.0</v>
      </c>
      <c r="B5" s="133"/>
      <c r="C5" s="131" t="s">
        <v>35</v>
      </c>
      <c r="D5" s="132">
        <v>0.0</v>
      </c>
      <c r="E5" s="132">
        <v>0.0</v>
      </c>
      <c r="F5" s="131"/>
      <c r="G5" s="133"/>
      <c r="H5" s="133"/>
      <c r="I5" s="133"/>
      <c r="J5" s="134">
        <f t="shared" ref="J5:J81" si="1">E5-D5</f>
        <v>0</v>
      </c>
    </row>
    <row r="6">
      <c r="A6" s="129">
        <v>2.0</v>
      </c>
      <c r="B6" s="133"/>
      <c r="C6" s="131" t="s">
        <v>35</v>
      </c>
      <c r="D6" s="132">
        <v>0.0</v>
      </c>
      <c r="E6" s="132">
        <v>0.0</v>
      </c>
      <c r="F6" s="131"/>
      <c r="G6" s="133"/>
      <c r="H6" s="133"/>
      <c r="I6" s="133"/>
      <c r="J6" s="134">
        <f t="shared" si="1"/>
        <v>0</v>
      </c>
    </row>
    <row r="7">
      <c r="A7" s="129">
        <v>3.0</v>
      </c>
      <c r="B7" s="133"/>
      <c r="C7" s="131" t="s">
        <v>35</v>
      </c>
      <c r="D7" s="132">
        <v>0.0</v>
      </c>
      <c r="E7" s="132">
        <v>0.0</v>
      </c>
      <c r="F7" s="131"/>
      <c r="G7" s="133"/>
      <c r="H7" s="133"/>
      <c r="I7" s="133"/>
      <c r="J7" s="134">
        <f t="shared" si="1"/>
        <v>0</v>
      </c>
    </row>
    <row r="8">
      <c r="A8" s="129">
        <v>4.0</v>
      </c>
      <c r="B8" s="133"/>
      <c r="C8" s="131" t="s">
        <v>35</v>
      </c>
      <c r="D8" s="132">
        <v>0.0</v>
      </c>
      <c r="E8" s="132">
        <v>0.0</v>
      </c>
      <c r="F8" s="131"/>
      <c r="G8" s="133"/>
      <c r="H8" s="133"/>
      <c r="I8" s="133"/>
      <c r="J8" s="134">
        <f t="shared" si="1"/>
        <v>0</v>
      </c>
    </row>
    <row r="9">
      <c r="A9" s="129">
        <v>5.0</v>
      </c>
      <c r="B9" s="133"/>
      <c r="C9" s="131" t="s">
        <v>35</v>
      </c>
      <c r="D9" s="132">
        <v>0.0</v>
      </c>
      <c r="E9" s="132">
        <v>0.0</v>
      </c>
      <c r="F9" s="131"/>
      <c r="G9" s="133"/>
      <c r="H9" s="133"/>
      <c r="I9" s="133"/>
      <c r="J9" s="134">
        <f t="shared" si="1"/>
        <v>0</v>
      </c>
    </row>
    <row r="10">
      <c r="A10" s="129">
        <v>6.0</v>
      </c>
      <c r="B10" s="133"/>
      <c r="C10" s="131" t="s">
        <v>35</v>
      </c>
      <c r="D10" s="132">
        <v>0.0</v>
      </c>
      <c r="E10" s="132">
        <v>0.0</v>
      </c>
      <c r="F10" s="131"/>
      <c r="G10" s="133"/>
      <c r="H10" s="133"/>
      <c r="I10" s="133"/>
      <c r="J10" s="134">
        <f t="shared" si="1"/>
        <v>0</v>
      </c>
    </row>
    <row r="11">
      <c r="A11" s="129">
        <v>7.0</v>
      </c>
      <c r="B11" s="133"/>
      <c r="C11" s="131" t="s">
        <v>35</v>
      </c>
      <c r="D11" s="132">
        <v>0.0</v>
      </c>
      <c r="E11" s="132">
        <v>0.0</v>
      </c>
      <c r="F11" s="131"/>
      <c r="G11" s="133"/>
      <c r="H11" s="133"/>
      <c r="I11" s="133"/>
      <c r="J11" s="134">
        <f t="shared" si="1"/>
        <v>0</v>
      </c>
    </row>
    <row r="12">
      <c r="A12" s="129">
        <v>8.0</v>
      </c>
      <c r="B12" s="133"/>
      <c r="C12" s="131" t="s">
        <v>35</v>
      </c>
      <c r="D12" s="132">
        <v>0.0</v>
      </c>
      <c r="E12" s="132">
        <v>0.0</v>
      </c>
      <c r="F12" s="131"/>
      <c r="G12" s="133"/>
      <c r="H12" s="133"/>
      <c r="I12" s="133"/>
      <c r="J12" s="134">
        <f t="shared" si="1"/>
        <v>0</v>
      </c>
    </row>
    <row r="13">
      <c r="A13" s="129">
        <v>9.0</v>
      </c>
      <c r="B13" s="133"/>
      <c r="C13" s="131" t="s">
        <v>35</v>
      </c>
      <c r="D13" s="132">
        <v>0.0</v>
      </c>
      <c r="E13" s="132">
        <v>0.0</v>
      </c>
      <c r="F13" s="131"/>
      <c r="G13" s="133"/>
      <c r="H13" s="133"/>
      <c r="I13" s="133"/>
      <c r="J13" s="134">
        <f t="shared" si="1"/>
        <v>0</v>
      </c>
    </row>
    <row r="14">
      <c r="A14" s="129">
        <v>10.0</v>
      </c>
      <c r="B14" s="133"/>
      <c r="C14" s="131" t="s">
        <v>35</v>
      </c>
      <c r="D14" s="132">
        <v>0.0</v>
      </c>
      <c r="E14" s="132">
        <v>0.0</v>
      </c>
      <c r="F14" s="131"/>
      <c r="G14" s="133"/>
      <c r="H14" s="133"/>
      <c r="I14" s="133"/>
      <c r="J14" s="134">
        <f t="shared" si="1"/>
        <v>0</v>
      </c>
    </row>
    <row r="15">
      <c r="A15" s="129">
        <v>11.0</v>
      </c>
      <c r="B15" s="133"/>
      <c r="C15" s="131" t="s">
        <v>35</v>
      </c>
      <c r="D15" s="132">
        <v>0.0</v>
      </c>
      <c r="E15" s="132">
        <v>0.0</v>
      </c>
      <c r="F15" s="131"/>
      <c r="G15" s="133"/>
      <c r="H15" s="133"/>
      <c r="I15" s="133"/>
      <c r="J15" s="134">
        <f t="shared" si="1"/>
        <v>0</v>
      </c>
    </row>
    <row r="16">
      <c r="A16" s="129">
        <v>12.0</v>
      </c>
      <c r="B16" s="133"/>
      <c r="C16" s="131" t="s">
        <v>35</v>
      </c>
      <c r="D16" s="132">
        <v>0.0</v>
      </c>
      <c r="E16" s="132">
        <v>0.0</v>
      </c>
      <c r="F16" s="131"/>
      <c r="G16" s="133"/>
      <c r="H16" s="133"/>
      <c r="I16" s="133"/>
      <c r="J16" s="134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29">
        <v>13.0</v>
      </c>
      <c r="B17" s="133"/>
      <c r="C17" s="131" t="s">
        <v>35</v>
      </c>
      <c r="D17" s="132">
        <v>0.0</v>
      </c>
      <c r="E17" s="132">
        <v>0.0</v>
      </c>
      <c r="F17" s="140"/>
      <c r="G17" s="133"/>
      <c r="H17" s="133"/>
      <c r="I17" s="133"/>
      <c r="J17" s="134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137" t="str">
        <f>(L17-M17)/L17</f>
        <v>#DIV/0!</v>
      </c>
      <c r="P17" s="139" t="str">
        <f>AVERAGEIF(J$5:J$200,"&lt;&gt;0")</f>
        <v>#DIV/0!</v>
      </c>
    </row>
    <row r="18">
      <c r="A18" s="129">
        <v>14.0</v>
      </c>
      <c r="B18" s="133"/>
      <c r="C18" s="131" t="s">
        <v>35</v>
      </c>
      <c r="D18" s="132">
        <v>0.0</v>
      </c>
      <c r="E18" s="132">
        <v>0.0</v>
      </c>
      <c r="F18" s="140"/>
      <c r="G18" s="133"/>
      <c r="H18" s="133"/>
      <c r="I18" s="133"/>
      <c r="J18" s="134">
        <f t="shared" si="1"/>
        <v>0</v>
      </c>
    </row>
    <row r="19">
      <c r="A19" s="129">
        <v>15.0</v>
      </c>
      <c r="B19" s="133"/>
      <c r="C19" s="131" t="s">
        <v>35</v>
      </c>
      <c r="D19" s="132">
        <v>0.0</v>
      </c>
      <c r="E19" s="132">
        <v>0.0</v>
      </c>
      <c r="F19" s="140"/>
      <c r="G19" s="133"/>
      <c r="H19" s="133"/>
      <c r="I19" s="133"/>
      <c r="J19" s="134">
        <f t="shared" si="1"/>
        <v>0</v>
      </c>
    </row>
    <row r="20">
      <c r="A20" s="129">
        <v>16.0</v>
      </c>
      <c r="B20" s="133"/>
      <c r="C20" s="131" t="s">
        <v>35</v>
      </c>
      <c r="D20" s="132">
        <v>0.0</v>
      </c>
      <c r="E20" s="132">
        <v>0.0</v>
      </c>
      <c r="F20" s="140"/>
      <c r="G20" s="133"/>
      <c r="H20" s="133"/>
      <c r="I20" s="133"/>
      <c r="J20" s="134">
        <f t="shared" si="1"/>
        <v>0</v>
      </c>
    </row>
    <row r="21">
      <c r="A21" s="129">
        <v>17.0</v>
      </c>
      <c r="B21" s="133"/>
      <c r="C21" s="131" t="s">
        <v>35</v>
      </c>
      <c r="D21" s="132">
        <v>0.0</v>
      </c>
      <c r="E21" s="132">
        <v>0.0</v>
      </c>
      <c r="F21" s="140"/>
      <c r="G21" s="133"/>
      <c r="H21" s="133"/>
      <c r="I21" s="133"/>
      <c r="J21" s="134">
        <f t="shared" si="1"/>
        <v>0</v>
      </c>
    </row>
    <row r="22">
      <c r="A22" s="129">
        <v>18.0</v>
      </c>
      <c r="B22" s="133"/>
      <c r="C22" s="131" t="s">
        <v>35</v>
      </c>
      <c r="D22" s="132">
        <v>0.0</v>
      </c>
      <c r="E22" s="132">
        <v>0.0</v>
      </c>
      <c r="F22" s="140"/>
      <c r="G22" s="133"/>
      <c r="H22" s="133"/>
      <c r="I22" s="133"/>
      <c r="J22" s="134">
        <f t="shared" si="1"/>
        <v>0</v>
      </c>
    </row>
    <row r="23">
      <c r="A23" s="129">
        <v>19.0</v>
      </c>
      <c r="B23" s="133"/>
      <c r="C23" s="131" t="s">
        <v>35</v>
      </c>
      <c r="D23" s="132">
        <v>0.0</v>
      </c>
      <c r="E23" s="132">
        <v>0.0</v>
      </c>
      <c r="F23" s="140"/>
      <c r="G23" s="133"/>
      <c r="H23" s="133"/>
      <c r="I23" s="133"/>
      <c r="J23" s="134">
        <f t="shared" si="1"/>
        <v>0</v>
      </c>
    </row>
    <row r="24">
      <c r="A24" s="129">
        <v>20.0</v>
      </c>
      <c r="B24" s="133"/>
      <c r="C24" s="131" t="s">
        <v>35</v>
      </c>
      <c r="D24" s="132">
        <v>0.0</v>
      </c>
      <c r="E24" s="132">
        <v>0.0</v>
      </c>
      <c r="F24" s="140"/>
      <c r="G24" s="133"/>
      <c r="H24" s="133"/>
      <c r="I24" s="133"/>
      <c r="J24" s="134">
        <f t="shared" si="1"/>
        <v>0</v>
      </c>
    </row>
    <row r="25">
      <c r="A25" s="129">
        <v>21.0</v>
      </c>
      <c r="B25" s="133"/>
      <c r="C25" s="131" t="s">
        <v>35</v>
      </c>
      <c r="D25" s="132">
        <v>0.0</v>
      </c>
      <c r="E25" s="132">
        <v>0.0</v>
      </c>
      <c r="F25" s="140"/>
      <c r="G25" s="133"/>
      <c r="H25" s="133"/>
      <c r="I25" s="133"/>
      <c r="J25" s="134">
        <f t="shared" si="1"/>
        <v>0</v>
      </c>
    </row>
    <row r="26">
      <c r="A26" s="129">
        <v>22.0</v>
      </c>
      <c r="B26" s="133"/>
      <c r="C26" s="131" t="s">
        <v>35</v>
      </c>
      <c r="D26" s="132">
        <v>0.0</v>
      </c>
      <c r="E26" s="132">
        <v>0.0</v>
      </c>
      <c r="F26" s="140"/>
      <c r="G26" s="133"/>
      <c r="H26" s="133"/>
      <c r="I26" s="133"/>
      <c r="J26" s="134">
        <f t="shared" si="1"/>
        <v>0</v>
      </c>
    </row>
    <row r="27">
      <c r="A27" s="129">
        <v>23.0</v>
      </c>
      <c r="B27" s="133"/>
      <c r="C27" s="131" t="s">
        <v>35</v>
      </c>
      <c r="D27" s="132">
        <v>0.0</v>
      </c>
      <c r="E27" s="132">
        <v>0.0</v>
      </c>
      <c r="F27" s="140"/>
      <c r="G27" s="133"/>
      <c r="H27" s="133"/>
      <c r="I27" s="133"/>
      <c r="J27" s="134">
        <f t="shared" si="1"/>
        <v>0</v>
      </c>
    </row>
    <row r="28">
      <c r="A28" s="129">
        <v>24.0</v>
      </c>
      <c r="B28" s="133"/>
      <c r="C28" s="131" t="s">
        <v>35</v>
      </c>
      <c r="D28" s="132">
        <v>0.0</v>
      </c>
      <c r="E28" s="132">
        <v>0.0</v>
      </c>
      <c r="F28" s="131"/>
      <c r="G28" s="133"/>
      <c r="H28" s="133"/>
      <c r="I28" s="133"/>
      <c r="J28" s="134">
        <f t="shared" si="1"/>
        <v>0</v>
      </c>
    </row>
    <row r="29">
      <c r="A29" s="129">
        <v>25.0</v>
      </c>
      <c r="B29" s="133"/>
      <c r="C29" s="131" t="s">
        <v>35</v>
      </c>
      <c r="D29" s="132">
        <v>0.0</v>
      </c>
      <c r="E29" s="132">
        <v>0.0</v>
      </c>
      <c r="F29" s="131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31" t="s">
        <v>35</v>
      </c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31" t="s">
        <v>35</v>
      </c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31" t="s">
        <v>35</v>
      </c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31" t="s">
        <v>35</v>
      </c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31" t="s">
        <v>35</v>
      </c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31" t="s">
        <v>35</v>
      </c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31" t="s">
        <v>35</v>
      </c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31" t="s">
        <v>35</v>
      </c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31" t="s">
        <v>35</v>
      </c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31" t="s">
        <v>35</v>
      </c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31" t="s">
        <v>35</v>
      </c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31" t="s">
        <v>35</v>
      </c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31" t="s">
        <v>35</v>
      </c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31" t="s">
        <v>35</v>
      </c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31" t="s">
        <v>35</v>
      </c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31" t="s">
        <v>35</v>
      </c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31" t="s">
        <v>35</v>
      </c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31" t="s">
        <v>35</v>
      </c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31" t="s">
        <v>35</v>
      </c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31" t="s">
        <v>35</v>
      </c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31" t="s">
        <v>35</v>
      </c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31" t="s">
        <v>35</v>
      </c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31" t="s">
        <v>35</v>
      </c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31" t="s">
        <v>35</v>
      </c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31" t="s">
        <v>35</v>
      </c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31" t="s">
        <v>35</v>
      </c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31" t="s">
        <v>35</v>
      </c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31" t="s">
        <v>35</v>
      </c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31" t="s">
        <v>35</v>
      </c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31" t="s">
        <v>35</v>
      </c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31" t="s">
        <v>35</v>
      </c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31" t="s">
        <v>35</v>
      </c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31" t="s">
        <v>35</v>
      </c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31" t="s">
        <v>35</v>
      </c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31" t="s">
        <v>35</v>
      </c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31" t="s">
        <v>35</v>
      </c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31" t="s">
        <v>35</v>
      </c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31" t="s">
        <v>35</v>
      </c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31" t="s">
        <v>35</v>
      </c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31" t="s">
        <v>35</v>
      </c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1" t="s">
        <v>35</v>
      </c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1" t="s">
        <v>35</v>
      </c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1" t="s">
        <v>35</v>
      </c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1" t="s">
        <v>35</v>
      </c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1" t="s">
        <v>35</v>
      </c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1" t="s">
        <v>35</v>
      </c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1" t="s">
        <v>35</v>
      </c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1" t="s">
        <v>35</v>
      </c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1" t="s">
        <v>35</v>
      </c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1" t="s">
        <v>35</v>
      </c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1" t="s">
        <v>35</v>
      </c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1" t="s">
        <v>35</v>
      </c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G16">
    <cfRule type="notContainsBlanks" dxfId="2" priority="1">
      <formula>LEN(TRIM(G16))&gt;0</formula>
    </cfRule>
  </conditionalFormatting>
  <conditionalFormatting sqref="F5:F120">
    <cfRule type="containsText" dxfId="7" priority="2" operator="containsText" text="oui">
      <formula>NOT(ISERROR(SEARCH(("oui"),(F5))))</formula>
    </cfRule>
  </conditionalFormatting>
  <conditionalFormatting sqref="F5:F120">
    <cfRule type="containsText" dxfId="6" priority="3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5" max="5" width="20.25"/>
    <col customWidth="1" min="10" max="10" width="14.0"/>
    <col customWidth="1" min="11" max="11" width="11.13"/>
    <col customWidth="1" min="12" max="12" width="29.63"/>
    <col customWidth="1" min="13" max="13" width="20.88"/>
    <col customWidth="1" min="14" max="14" width="19.88"/>
  </cols>
  <sheetData>
    <row r="1">
      <c r="A1" s="119" t="s">
        <v>137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23" t="s">
        <v>117</v>
      </c>
      <c r="B3" s="124" t="s">
        <v>118</v>
      </c>
      <c r="C3" s="124" t="s">
        <v>119</v>
      </c>
      <c r="D3" s="125" t="s">
        <v>120</v>
      </c>
      <c r="E3" s="125" t="s">
        <v>121</v>
      </c>
      <c r="F3" s="126" t="s">
        <v>122</v>
      </c>
      <c r="G3" s="127" t="s">
        <v>123</v>
      </c>
      <c r="H3" s="127" t="s">
        <v>124</v>
      </c>
      <c r="I3" s="124" t="s">
        <v>125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141" t="s">
        <v>138</v>
      </c>
    </row>
    <row r="5">
      <c r="A5" s="129">
        <v>1.0</v>
      </c>
      <c r="B5" s="133"/>
      <c r="C5" s="133"/>
      <c r="D5" s="132">
        <v>0.0</v>
      </c>
      <c r="E5" s="132">
        <v>0.0</v>
      </c>
      <c r="F5" s="131"/>
      <c r="G5" s="133"/>
      <c r="H5" s="133"/>
      <c r="I5" s="133"/>
      <c r="J5" s="134">
        <f t="shared" ref="J5:J81" si="1">E5-D5</f>
        <v>0</v>
      </c>
      <c r="L5" s="118">
        <f>COUNTIF(F5:F81,"OUI")</f>
        <v>0</v>
      </c>
      <c r="M5" s="109" t="s">
        <v>106</v>
      </c>
    </row>
    <row r="6">
      <c r="A6" s="129">
        <v>2.0</v>
      </c>
      <c r="B6" s="133"/>
      <c r="C6" s="133"/>
      <c r="D6" s="132">
        <v>0.0</v>
      </c>
      <c r="E6" s="132">
        <v>0.0</v>
      </c>
      <c r="F6" s="131"/>
      <c r="G6" s="133"/>
      <c r="H6" s="133"/>
      <c r="I6" s="133"/>
      <c r="J6" s="134">
        <f t="shared" si="1"/>
        <v>0</v>
      </c>
    </row>
    <row r="7">
      <c r="A7" s="129">
        <v>3.0</v>
      </c>
      <c r="B7" s="133"/>
      <c r="C7" s="133"/>
      <c r="D7" s="132">
        <v>0.0</v>
      </c>
      <c r="E7" s="132">
        <v>0.0</v>
      </c>
      <c r="F7" s="131"/>
      <c r="G7" s="133"/>
      <c r="H7" s="133"/>
      <c r="I7" s="133"/>
      <c r="J7" s="134">
        <f t="shared" si="1"/>
        <v>0</v>
      </c>
      <c r="L7" s="141" t="s">
        <v>139</v>
      </c>
    </row>
    <row r="8">
      <c r="A8" s="129">
        <v>4.0</v>
      </c>
      <c r="B8" s="133"/>
      <c r="C8" s="133"/>
      <c r="D8" s="132">
        <v>0.0</v>
      </c>
      <c r="E8" s="132">
        <v>0.0</v>
      </c>
      <c r="F8" s="131"/>
      <c r="G8" s="133"/>
      <c r="H8" s="133"/>
      <c r="I8" s="133"/>
      <c r="J8" s="134">
        <f t="shared" si="1"/>
        <v>0</v>
      </c>
      <c r="L8" s="142">
        <f>COUNTIF(F5:F84,"NON")+L5</f>
        <v>0</v>
      </c>
    </row>
    <row r="9">
      <c r="A9" s="129">
        <v>5.0</v>
      </c>
      <c r="B9" s="133"/>
      <c r="C9" s="133"/>
      <c r="D9" s="132">
        <v>0.0</v>
      </c>
      <c r="E9" s="132">
        <v>0.0</v>
      </c>
      <c r="F9" s="131"/>
      <c r="G9" s="133"/>
      <c r="H9" s="133"/>
      <c r="I9" s="133"/>
      <c r="J9" s="134">
        <f t="shared" si="1"/>
        <v>0</v>
      </c>
    </row>
    <row r="10">
      <c r="A10" s="129">
        <v>6.0</v>
      </c>
      <c r="B10" s="133"/>
      <c r="C10" s="133"/>
      <c r="D10" s="132">
        <v>0.0</v>
      </c>
      <c r="E10" s="132">
        <v>0.0</v>
      </c>
      <c r="F10" s="131"/>
      <c r="G10" s="133"/>
      <c r="H10" s="133"/>
      <c r="I10" s="133"/>
      <c r="J10" s="134">
        <f t="shared" si="1"/>
        <v>0</v>
      </c>
    </row>
    <row r="11">
      <c r="A11" s="129">
        <v>7.0</v>
      </c>
      <c r="B11" s="133"/>
      <c r="C11" s="133"/>
      <c r="D11" s="132">
        <v>0.0</v>
      </c>
      <c r="E11" s="132">
        <v>0.0</v>
      </c>
      <c r="F11" s="131"/>
      <c r="G11" s="133"/>
      <c r="H11" s="133"/>
      <c r="I11" s="133"/>
      <c r="J11" s="134">
        <f t="shared" si="1"/>
        <v>0</v>
      </c>
    </row>
    <row r="12">
      <c r="A12" s="129">
        <v>8.0</v>
      </c>
      <c r="B12" s="133"/>
      <c r="C12" s="133"/>
      <c r="D12" s="132">
        <v>0.0</v>
      </c>
      <c r="E12" s="132">
        <v>0.0</v>
      </c>
      <c r="F12" s="131"/>
      <c r="G12" s="133"/>
      <c r="H12" s="133"/>
      <c r="I12" s="133"/>
      <c r="J12" s="134">
        <f t="shared" si="1"/>
        <v>0</v>
      </c>
    </row>
    <row r="13">
      <c r="A13" s="129">
        <v>9.0</v>
      </c>
      <c r="B13" s="133"/>
      <c r="C13" s="133"/>
      <c r="D13" s="132">
        <v>0.0</v>
      </c>
      <c r="E13" s="132">
        <v>0.0</v>
      </c>
      <c r="F13" s="131"/>
      <c r="G13" s="133"/>
      <c r="H13" s="133"/>
      <c r="I13" s="133"/>
      <c r="J13" s="134">
        <f t="shared" si="1"/>
        <v>0</v>
      </c>
    </row>
    <row r="14">
      <c r="A14" s="129">
        <v>10.0</v>
      </c>
      <c r="B14" s="133"/>
      <c r="C14" s="133"/>
      <c r="D14" s="132">
        <v>0.0</v>
      </c>
      <c r="E14" s="132">
        <v>0.0</v>
      </c>
      <c r="F14" s="131"/>
      <c r="G14" s="133"/>
      <c r="H14" s="133"/>
      <c r="I14" s="133"/>
      <c r="J14" s="134">
        <f t="shared" si="1"/>
        <v>0</v>
      </c>
    </row>
    <row r="15">
      <c r="A15" s="129">
        <v>11.0</v>
      </c>
      <c r="B15" s="133"/>
      <c r="C15" s="133"/>
      <c r="D15" s="132">
        <v>0.0</v>
      </c>
      <c r="E15" s="132">
        <v>0.0</v>
      </c>
      <c r="F15" s="131"/>
      <c r="G15" s="133"/>
      <c r="H15" s="133"/>
      <c r="I15" s="133"/>
      <c r="J15" s="134">
        <f t="shared" si="1"/>
        <v>0</v>
      </c>
    </row>
    <row r="16">
      <c r="A16" s="129">
        <v>12.0</v>
      </c>
      <c r="B16" s="133"/>
      <c r="C16" s="133"/>
      <c r="D16" s="132">
        <v>0.0</v>
      </c>
      <c r="E16" s="132">
        <v>0.0</v>
      </c>
      <c r="F16" s="131"/>
      <c r="G16" s="133"/>
      <c r="H16" s="133"/>
      <c r="I16" s="133"/>
      <c r="J16" s="134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29">
        <v>13.0</v>
      </c>
      <c r="B17" s="133"/>
      <c r="C17" s="133"/>
      <c r="D17" s="132">
        <v>0.0</v>
      </c>
      <c r="E17" s="132">
        <v>0.0</v>
      </c>
      <c r="F17" s="140"/>
      <c r="G17" s="133"/>
      <c r="H17" s="133"/>
      <c r="I17" s="133"/>
      <c r="J17" s="134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137" t="str">
        <f>(L17-M17)/L17</f>
        <v>#DIV/0!</v>
      </c>
      <c r="P17" s="139" t="str">
        <f>AVERAGEIF(J$5:J$200,"&lt;&gt;0")</f>
        <v>#DIV/0!</v>
      </c>
    </row>
    <row r="18">
      <c r="A18" s="129">
        <v>14.0</v>
      </c>
      <c r="B18" s="133"/>
      <c r="C18" s="133"/>
      <c r="D18" s="132">
        <v>0.0</v>
      </c>
      <c r="E18" s="132">
        <v>0.0</v>
      </c>
      <c r="F18" s="140"/>
      <c r="G18" s="133"/>
      <c r="H18" s="133"/>
      <c r="I18" s="133"/>
      <c r="J18" s="134">
        <f t="shared" si="1"/>
        <v>0</v>
      </c>
    </row>
    <row r="19">
      <c r="A19" s="129">
        <v>15.0</v>
      </c>
      <c r="B19" s="133"/>
      <c r="C19" s="133"/>
      <c r="D19" s="132">
        <v>0.0</v>
      </c>
      <c r="E19" s="132">
        <v>0.0</v>
      </c>
      <c r="F19" s="140"/>
      <c r="G19" s="133"/>
      <c r="H19" s="133"/>
      <c r="I19" s="133"/>
      <c r="J19" s="134">
        <f t="shared" si="1"/>
        <v>0</v>
      </c>
    </row>
    <row r="20">
      <c r="A20" s="129">
        <v>16.0</v>
      </c>
      <c r="B20" s="133"/>
      <c r="C20" s="133"/>
      <c r="D20" s="132">
        <v>0.0</v>
      </c>
      <c r="E20" s="132">
        <v>0.0</v>
      </c>
      <c r="F20" s="140"/>
      <c r="G20" s="133"/>
      <c r="H20" s="133"/>
      <c r="I20" s="133"/>
      <c r="J20" s="134">
        <f t="shared" si="1"/>
        <v>0</v>
      </c>
    </row>
    <row r="21">
      <c r="A21" s="129">
        <v>17.0</v>
      </c>
      <c r="B21" s="133"/>
      <c r="C21" s="133"/>
      <c r="D21" s="132">
        <v>0.0</v>
      </c>
      <c r="E21" s="132">
        <v>0.0</v>
      </c>
      <c r="F21" s="140"/>
      <c r="G21" s="133"/>
      <c r="H21" s="133"/>
      <c r="I21" s="133"/>
      <c r="J21" s="134">
        <f t="shared" si="1"/>
        <v>0</v>
      </c>
    </row>
    <row r="22">
      <c r="A22" s="129">
        <v>18.0</v>
      </c>
      <c r="B22" s="133"/>
      <c r="C22" s="133"/>
      <c r="D22" s="132">
        <v>0.0</v>
      </c>
      <c r="E22" s="132">
        <v>0.0</v>
      </c>
      <c r="F22" s="140"/>
      <c r="G22" s="133"/>
      <c r="H22" s="133"/>
      <c r="I22" s="133"/>
      <c r="J22" s="134">
        <f t="shared" si="1"/>
        <v>0</v>
      </c>
    </row>
    <row r="23">
      <c r="A23" s="129">
        <v>19.0</v>
      </c>
      <c r="B23" s="133"/>
      <c r="C23" s="133"/>
      <c r="D23" s="132">
        <v>0.0</v>
      </c>
      <c r="E23" s="132">
        <v>0.0</v>
      </c>
      <c r="F23" s="140"/>
      <c r="G23" s="133"/>
      <c r="H23" s="133"/>
      <c r="I23" s="133"/>
      <c r="J23" s="134">
        <f t="shared" si="1"/>
        <v>0</v>
      </c>
    </row>
    <row r="24">
      <c r="A24" s="129">
        <v>20.0</v>
      </c>
      <c r="B24" s="133"/>
      <c r="C24" s="133"/>
      <c r="D24" s="132">
        <v>0.0</v>
      </c>
      <c r="E24" s="132">
        <v>0.0</v>
      </c>
      <c r="F24" s="140"/>
      <c r="G24" s="133"/>
      <c r="H24" s="133"/>
      <c r="I24" s="133"/>
      <c r="J24" s="134">
        <f t="shared" si="1"/>
        <v>0</v>
      </c>
    </row>
    <row r="25">
      <c r="A25" s="129">
        <v>21.0</v>
      </c>
      <c r="B25" s="133"/>
      <c r="C25" s="133"/>
      <c r="D25" s="132">
        <v>0.0</v>
      </c>
      <c r="E25" s="132">
        <v>0.0</v>
      </c>
      <c r="F25" s="140"/>
      <c r="G25" s="133"/>
      <c r="H25" s="133"/>
      <c r="I25" s="133"/>
      <c r="J25" s="134">
        <f t="shared" si="1"/>
        <v>0</v>
      </c>
    </row>
    <row r="26">
      <c r="A26" s="129">
        <v>22.0</v>
      </c>
      <c r="B26" s="133"/>
      <c r="C26" s="133"/>
      <c r="D26" s="132">
        <v>0.0</v>
      </c>
      <c r="E26" s="132">
        <v>0.0</v>
      </c>
      <c r="F26" s="140"/>
      <c r="G26" s="133"/>
      <c r="H26" s="133"/>
      <c r="I26" s="133"/>
      <c r="J26" s="134">
        <f t="shared" si="1"/>
        <v>0</v>
      </c>
    </row>
    <row r="27">
      <c r="A27" s="129">
        <v>23.0</v>
      </c>
      <c r="B27" s="133"/>
      <c r="C27" s="133"/>
      <c r="D27" s="132">
        <v>0.0</v>
      </c>
      <c r="E27" s="132">
        <v>0.0</v>
      </c>
      <c r="F27" s="140"/>
      <c r="G27" s="133"/>
      <c r="H27" s="133"/>
      <c r="I27" s="133"/>
      <c r="J27" s="134">
        <f t="shared" si="1"/>
        <v>0</v>
      </c>
    </row>
    <row r="28">
      <c r="A28" s="129">
        <v>24.0</v>
      </c>
      <c r="B28" s="133"/>
      <c r="C28" s="133"/>
      <c r="D28" s="132">
        <v>0.0</v>
      </c>
      <c r="E28" s="132">
        <v>0.0</v>
      </c>
      <c r="F28" s="131"/>
      <c r="G28" s="133"/>
      <c r="H28" s="133"/>
      <c r="I28" s="133"/>
      <c r="J28" s="134">
        <f t="shared" si="1"/>
        <v>0</v>
      </c>
    </row>
    <row r="29">
      <c r="A29" s="129">
        <v>25.0</v>
      </c>
      <c r="B29" s="133"/>
      <c r="C29" s="133"/>
      <c r="D29" s="132">
        <v>0.0</v>
      </c>
      <c r="E29" s="132">
        <v>0.0</v>
      </c>
      <c r="F29" s="131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33"/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33"/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33"/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33"/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33"/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33"/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33"/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33"/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33"/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33"/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33"/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33"/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33"/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33"/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33"/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33"/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33"/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33"/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33"/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33"/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33"/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33"/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33"/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33"/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33"/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33"/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33"/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33"/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33"/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33"/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33"/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33"/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33"/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33"/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33"/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33"/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33"/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33"/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33"/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33"/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3"/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3"/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3"/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3"/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3"/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3"/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3"/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3"/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3"/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3"/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3"/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3"/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G16">
    <cfRule type="notContainsBlanks" dxfId="2" priority="1">
      <formula>LEN(TRIM(G16))&gt;0</formula>
    </cfRule>
  </conditionalFormatting>
  <conditionalFormatting sqref="F5:F125">
    <cfRule type="containsText" dxfId="7" priority="2" operator="containsText" text="oui">
      <formula>NOT(ISERROR(SEARCH(("oui"),(F5))))</formula>
    </cfRule>
  </conditionalFormatting>
  <conditionalFormatting sqref="F5:F125">
    <cfRule type="containsText" dxfId="6" priority="3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5" max="5" width="16.88"/>
    <col customWidth="1" min="10" max="10" width="13.88"/>
    <col customWidth="1" min="12" max="12" width="33.0"/>
    <col customWidth="1" min="13" max="13" width="18.13"/>
    <col customWidth="1" min="14" max="14" width="17.38"/>
    <col customWidth="1" min="16" max="16" width="16.25"/>
  </cols>
  <sheetData>
    <row r="1">
      <c r="A1" s="119" t="s">
        <v>140</v>
      </c>
      <c r="B1" s="120"/>
      <c r="C1" s="120"/>
      <c r="D1" s="120"/>
      <c r="E1" s="120"/>
      <c r="F1" s="120"/>
      <c r="G1" s="120"/>
      <c r="H1" s="120"/>
      <c r="I1" s="120"/>
      <c r="J1" s="105"/>
      <c r="K1" s="83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23" t="s">
        <v>117</v>
      </c>
      <c r="B3" s="124" t="s">
        <v>118</v>
      </c>
      <c r="C3" s="124" t="s">
        <v>119</v>
      </c>
      <c r="D3" s="143" t="s">
        <v>120</v>
      </c>
      <c r="E3" s="143" t="s">
        <v>121</v>
      </c>
      <c r="F3" s="126" t="s">
        <v>122</v>
      </c>
      <c r="G3" s="127" t="s">
        <v>141</v>
      </c>
      <c r="H3" s="127" t="s">
        <v>141</v>
      </c>
      <c r="I3" s="127" t="s">
        <v>141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29">
        <v>1.0</v>
      </c>
      <c r="B5" s="144">
        <v>46119.0</v>
      </c>
      <c r="C5" s="140" t="s">
        <v>142</v>
      </c>
      <c r="D5" s="132">
        <v>0.6875</v>
      </c>
      <c r="E5" s="132">
        <v>0.6951388888888889</v>
      </c>
      <c r="F5" s="131" t="s">
        <v>128</v>
      </c>
      <c r="G5" s="140" t="s">
        <v>143</v>
      </c>
      <c r="H5" s="140" t="s">
        <v>144</v>
      </c>
      <c r="I5" s="140" t="s">
        <v>144</v>
      </c>
      <c r="J5" s="134">
        <f t="shared" ref="J5:J81" si="1">E5-D5</f>
        <v>0.007638888889</v>
      </c>
    </row>
    <row r="6">
      <c r="A6" s="129">
        <v>2.0</v>
      </c>
      <c r="B6" s="144">
        <v>46119.0</v>
      </c>
      <c r="C6" s="140" t="s">
        <v>142</v>
      </c>
      <c r="D6" s="132">
        <v>0.7048611111111112</v>
      </c>
      <c r="E6" s="132">
        <v>0.7104166666666667</v>
      </c>
      <c r="F6" s="131" t="s">
        <v>128</v>
      </c>
      <c r="G6" s="140" t="s">
        <v>145</v>
      </c>
      <c r="H6" s="140" t="s">
        <v>144</v>
      </c>
      <c r="I6" s="140" t="s">
        <v>144</v>
      </c>
      <c r="J6" s="134">
        <f t="shared" si="1"/>
        <v>0.005555555556</v>
      </c>
    </row>
    <row r="7">
      <c r="A7" s="129">
        <v>3.0</v>
      </c>
      <c r="B7" s="144">
        <v>46119.0</v>
      </c>
      <c r="C7" s="140" t="s">
        <v>142</v>
      </c>
      <c r="D7" s="132">
        <v>0.7166666666666667</v>
      </c>
      <c r="E7" s="132">
        <v>0.7263888888888889</v>
      </c>
      <c r="F7" s="131" t="s">
        <v>146</v>
      </c>
      <c r="G7" s="140" t="s">
        <v>147</v>
      </c>
      <c r="H7" s="140" t="s">
        <v>148</v>
      </c>
      <c r="I7" s="140" t="s">
        <v>149</v>
      </c>
      <c r="J7" s="134">
        <f t="shared" si="1"/>
        <v>0.009722222222</v>
      </c>
    </row>
    <row r="8">
      <c r="A8" s="129">
        <v>4.0</v>
      </c>
      <c r="B8" s="133"/>
      <c r="C8" s="140" t="s">
        <v>142</v>
      </c>
      <c r="D8" s="132">
        <v>0.0</v>
      </c>
      <c r="E8" s="132">
        <v>0.0</v>
      </c>
      <c r="F8" s="131"/>
      <c r="G8" s="133"/>
      <c r="H8" s="133"/>
      <c r="I8" s="140"/>
      <c r="J8" s="134">
        <f t="shared" si="1"/>
        <v>0</v>
      </c>
    </row>
    <row r="9">
      <c r="A9" s="129">
        <v>5.0</v>
      </c>
      <c r="B9" s="133"/>
      <c r="C9" s="140" t="s">
        <v>142</v>
      </c>
      <c r="D9" s="132">
        <v>0.0</v>
      </c>
      <c r="E9" s="132">
        <v>0.0</v>
      </c>
      <c r="F9" s="131"/>
      <c r="G9" s="133"/>
      <c r="H9" s="133"/>
      <c r="I9" s="133"/>
      <c r="J9" s="134">
        <f t="shared" si="1"/>
        <v>0</v>
      </c>
    </row>
    <row r="10">
      <c r="A10" s="129">
        <v>6.0</v>
      </c>
      <c r="B10" s="133"/>
      <c r="C10" s="140" t="s">
        <v>142</v>
      </c>
      <c r="D10" s="132">
        <v>0.0</v>
      </c>
      <c r="E10" s="132">
        <v>0.0</v>
      </c>
      <c r="F10" s="131"/>
      <c r="G10" s="133"/>
      <c r="H10" s="133"/>
      <c r="I10" s="133"/>
      <c r="J10" s="134">
        <f t="shared" si="1"/>
        <v>0</v>
      </c>
    </row>
    <row r="11">
      <c r="A11" s="129">
        <v>7.0</v>
      </c>
      <c r="B11" s="133"/>
      <c r="C11" s="140" t="s">
        <v>142</v>
      </c>
      <c r="D11" s="132">
        <v>0.0</v>
      </c>
      <c r="E11" s="132">
        <v>0.0</v>
      </c>
      <c r="F11" s="131"/>
      <c r="G11" s="133"/>
      <c r="H11" s="133"/>
      <c r="I11" s="133"/>
      <c r="J11" s="134">
        <f t="shared" si="1"/>
        <v>0</v>
      </c>
    </row>
    <row r="12">
      <c r="A12" s="129">
        <v>8.0</v>
      </c>
      <c r="B12" s="133"/>
      <c r="C12" s="140" t="s">
        <v>142</v>
      </c>
      <c r="D12" s="132">
        <v>0.0</v>
      </c>
      <c r="E12" s="132">
        <v>0.0</v>
      </c>
      <c r="F12" s="131"/>
      <c r="G12" s="133"/>
      <c r="H12" s="133"/>
      <c r="I12" s="133"/>
      <c r="J12" s="134">
        <f t="shared" si="1"/>
        <v>0</v>
      </c>
    </row>
    <row r="13">
      <c r="A13" s="129">
        <v>9.0</v>
      </c>
      <c r="B13" s="133"/>
      <c r="C13" s="140" t="s">
        <v>142</v>
      </c>
      <c r="D13" s="132">
        <v>0.0</v>
      </c>
      <c r="E13" s="132">
        <v>0.0</v>
      </c>
      <c r="F13" s="131"/>
      <c r="G13" s="133"/>
      <c r="H13" s="133"/>
      <c r="I13" s="133"/>
      <c r="J13" s="134">
        <f t="shared" si="1"/>
        <v>0</v>
      </c>
    </row>
    <row r="14">
      <c r="A14" s="129">
        <v>10.0</v>
      </c>
      <c r="B14" s="133"/>
      <c r="C14" s="140" t="s">
        <v>142</v>
      </c>
      <c r="D14" s="132">
        <v>0.0</v>
      </c>
      <c r="E14" s="132">
        <v>0.0</v>
      </c>
      <c r="F14" s="131"/>
      <c r="G14" s="133"/>
      <c r="H14" s="133"/>
      <c r="I14" s="133"/>
      <c r="J14" s="134">
        <f t="shared" si="1"/>
        <v>0</v>
      </c>
    </row>
    <row r="15">
      <c r="A15" s="129">
        <v>11.0</v>
      </c>
      <c r="B15" s="133"/>
      <c r="C15" s="140" t="s">
        <v>142</v>
      </c>
      <c r="D15" s="132">
        <v>0.0</v>
      </c>
      <c r="E15" s="132">
        <v>0.0</v>
      </c>
      <c r="F15" s="131"/>
      <c r="G15" s="133"/>
      <c r="H15" s="133"/>
      <c r="I15" s="133"/>
      <c r="J15" s="134">
        <f t="shared" si="1"/>
        <v>0</v>
      </c>
    </row>
    <row r="16">
      <c r="A16" s="129">
        <v>12.0</v>
      </c>
      <c r="B16" s="133"/>
      <c r="C16" s="140" t="s">
        <v>142</v>
      </c>
      <c r="D16" s="132">
        <v>0.0</v>
      </c>
      <c r="E16" s="132">
        <v>0.0</v>
      </c>
      <c r="F16" s="131"/>
      <c r="G16" s="133"/>
      <c r="H16" s="133"/>
      <c r="I16" s="133"/>
      <c r="J16" s="134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29">
        <v>13.0</v>
      </c>
      <c r="B17" s="133"/>
      <c r="C17" s="140" t="s">
        <v>142</v>
      </c>
      <c r="D17" s="132">
        <v>0.0</v>
      </c>
      <c r="E17" s="132">
        <v>0.0</v>
      </c>
      <c r="F17" s="140"/>
      <c r="G17" s="133"/>
      <c r="H17" s="133"/>
      <c r="I17" s="133"/>
      <c r="J17" s="134">
        <f t="shared" si="1"/>
        <v>0</v>
      </c>
      <c r="L17" s="137">
        <f>COUNTA(F5:F92)</f>
        <v>3</v>
      </c>
      <c r="M17" s="138">
        <f>COUNTIF(F7:F93,"non")</f>
        <v>1</v>
      </c>
      <c r="N17" s="138">
        <f>COUNTIF(F7:F92,"oui")</f>
        <v>0</v>
      </c>
      <c r="O17" s="137">
        <f>(L17-M17)/L17</f>
        <v>0.6666666667</v>
      </c>
      <c r="P17" s="139">
        <f>AVERAGEIF(J$5:J$200,"&lt;&gt;0")</f>
        <v>0.007638888889</v>
      </c>
    </row>
    <row r="18">
      <c r="A18" s="129">
        <v>14.0</v>
      </c>
      <c r="B18" s="133"/>
      <c r="C18" s="140" t="s">
        <v>142</v>
      </c>
      <c r="D18" s="132">
        <v>0.0</v>
      </c>
      <c r="E18" s="132">
        <v>0.0</v>
      </c>
      <c r="F18" s="140"/>
      <c r="G18" s="133"/>
      <c r="H18" s="133"/>
      <c r="I18" s="133"/>
      <c r="J18" s="134">
        <f t="shared" si="1"/>
        <v>0</v>
      </c>
    </row>
    <row r="19">
      <c r="A19" s="129">
        <v>15.0</v>
      </c>
      <c r="B19" s="133"/>
      <c r="C19" s="140" t="s">
        <v>142</v>
      </c>
      <c r="D19" s="132">
        <v>0.0</v>
      </c>
      <c r="E19" s="132">
        <v>0.0</v>
      </c>
      <c r="F19" s="140"/>
      <c r="G19" s="133"/>
      <c r="H19" s="133"/>
      <c r="I19" s="133"/>
      <c r="J19" s="134">
        <f t="shared" si="1"/>
        <v>0</v>
      </c>
    </row>
    <row r="20">
      <c r="A20" s="129">
        <v>16.0</v>
      </c>
      <c r="B20" s="133"/>
      <c r="C20" s="140" t="s">
        <v>142</v>
      </c>
      <c r="D20" s="132">
        <v>0.0</v>
      </c>
      <c r="E20" s="132">
        <v>0.0</v>
      </c>
      <c r="F20" s="140"/>
      <c r="G20" s="133"/>
      <c r="H20" s="133"/>
      <c r="I20" s="133"/>
      <c r="J20" s="134">
        <f t="shared" si="1"/>
        <v>0</v>
      </c>
    </row>
    <row r="21">
      <c r="A21" s="129">
        <v>17.0</v>
      </c>
      <c r="B21" s="133"/>
      <c r="C21" s="140" t="s">
        <v>142</v>
      </c>
      <c r="D21" s="132">
        <v>0.0</v>
      </c>
      <c r="E21" s="132">
        <v>0.0</v>
      </c>
      <c r="F21" s="140"/>
      <c r="G21" s="133"/>
      <c r="H21" s="133"/>
      <c r="I21" s="133"/>
      <c r="J21" s="134">
        <f t="shared" si="1"/>
        <v>0</v>
      </c>
    </row>
    <row r="22">
      <c r="A22" s="129">
        <v>18.0</v>
      </c>
      <c r="B22" s="133"/>
      <c r="C22" s="140" t="s">
        <v>142</v>
      </c>
      <c r="D22" s="132">
        <v>0.0</v>
      </c>
      <c r="E22" s="132">
        <v>0.0</v>
      </c>
      <c r="F22" s="140"/>
      <c r="G22" s="133"/>
      <c r="H22" s="133"/>
      <c r="I22" s="133"/>
      <c r="J22" s="134">
        <f t="shared" si="1"/>
        <v>0</v>
      </c>
    </row>
    <row r="23">
      <c r="A23" s="129">
        <v>19.0</v>
      </c>
      <c r="B23" s="133"/>
      <c r="C23" s="140" t="s">
        <v>142</v>
      </c>
      <c r="D23" s="132">
        <v>0.0</v>
      </c>
      <c r="E23" s="132">
        <v>0.0</v>
      </c>
      <c r="F23" s="140"/>
      <c r="G23" s="133"/>
      <c r="H23" s="133"/>
      <c r="I23" s="133"/>
      <c r="J23" s="134">
        <f t="shared" si="1"/>
        <v>0</v>
      </c>
    </row>
    <row r="24">
      <c r="A24" s="129">
        <v>20.0</v>
      </c>
      <c r="B24" s="133"/>
      <c r="C24" s="140" t="s">
        <v>142</v>
      </c>
      <c r="D24" s="132">
        <v>0.0</v>
      </c>
      <c r="E24" s="132">
        <v>0.0</v>
      </c>
      <c r="F24" s="140"/>
      <c r="G24" s="133"/>
      <c r="H24" s="133"/>
      <c r="I24" s="133"/>
      <c r="J24" s="134">
        <f t="shared" si="1"/>
        <v>0</v>
      </c>
    </row>
    <row r="25">
      <c r="A25" s="129">
        <v>21.0</v>
      </c>
      <c r="B25" s="133"/>
      <c r="C25" s="140" t="s">
        <v>142</v>
      </c>
      <c r="D25" s="132">
        <v>0.0</v>
      </c>
      <c r="E25" s="132">
        <v>0.0</v>
      </c>
      <c r="F25" s="140"/>
      <c r="G25" s="133"/>
      <c r="H25" s="133"/>
      <c r="I25" s="133"/>
      <c r="J25" s="134">
        <f t="shared" si="1"/>
        <v>0</v>
      </c>
    </row>
    <row r="26">
      <c r="A26" s="129">
        <v>22.0</v>
      </c>
      <c r="B26" s="133"/>
      <c r="C26" s="140" t="s">
        <v>142</v>
      </c>
      <c r="D26" s="132">
        <v>0.0</v>
      </c>
      <c r="E26" s="132">
        <v>0.0</v>
      </c>
      <c r="F26" s="140"/>
      <c r="G26" s="133"/>
      <c r="H26" s="133"/>
      <c r="I26" s="133"/>
      <c r="J26" s="134">
        <f t="shared" si="1"/>
        <v>0</v>
      </c>
    </row>
    <row r="27">
      <c r="A27" s="129">
        <v>23.0</v>
      </c>
      <c r="B27" s="133"/>
      <c r="C27" s="140" t="s">
        <v>142</v>
      </c>
      <c r="D27" s="132">
        <v>0.0</v>
      </c>
      <c r="E27" s="132">
        <v>0.0</v>
      </c>
      <c r="F27" s="140"/>
      <c r="G27" s="133"/>
      <c r="H27" s="133"/>
      <c r="I27" s="133"/>
      <c r="J27" s="134">
        <f t="shared" si="1"/>
        <v>0</v>
      </c>
    </row>
    <row r="28">
      <c r="A28" s="129">
        <v>24.0</v>
      </c>
      <c r="B28" s="133"/>
      <c r="C28" s="140" t="s">
        <v>142</v>
      </c>
      <c r="D28" s="132">
        <v>0.0</v>
      </c>
      <c r="E28" s="132">
        <v>0.0</v>
      </c>
      <c r="F28" s="131"/>
      <c r="G28" s="133"/>
      <c r="H28" s="133"/>
      <c r="I28" s="133"/>
      <c r="J28" s="134">
        <f t="shared" si="1"/>
        <v>0</v>
      </c>
    </row>
    <row r="29">
      <c r="A29" s="129">
        <v>25.0</v>
      </c>
      <c r="B29" s="133"/>
      <c r="C29" s="140" t="s">
        <v>142</v>
      </c>
      <c r="D29" s="132">
        <v>0.0</v>
      </c>
      <c r="E29" s="132">
        <v>0.0</v>
      </c>
      <c r="F29" s="131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40" t="s">
        <v>142</v>
      </c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40" t="s">
        <v>142</v>
      </c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40" t="s">
        <v>142</v>
      </c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40" t="s">
        <v>142</v>
      </c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40" t="s">
        <v>142</v>
      </c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40" t="s">
        <v>142</v>
      </c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40" t="s">
        <v>142</v>
      </c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40" t="s">
        <v>142</v>
      </c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40" t="s">
        <v>142</v>
      </c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40" t="s">
        <v>142</v>
      </c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40" t="s">
        <v>142</v>
      </c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40" t="s">
        <v>142</v>
      </c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40" t="s">
        <v>142</v>
      </c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40" t="s">
        <v>142</v>
      </c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40" t="s">
        <v>142</v>
      </c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40" t="s">
        <v>142</v>
      </c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40" t="s">
        <v>142</v>
      </c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40" t="s">
        <v>142</v>
      </c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40" t="s">
        <v>142</v>
      </c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40" t="s">
        <v>142</v>
      </c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40" t="s">
        <v>142</v>
      </c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40" t="s">
        <v>142</v>
      </c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40" t="s">
        <v>142</v>
      </c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40" t="s">
        <v>142</v>
      </c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40" t="s">
        <v>142</v>
      </c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40" t="s">
        <v>142</v>
      </c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40" t="s">
        <v>142</v>
      </c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40" t="s">
        <v>142</v>
      </c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40" t="s">
        <v>142</v>
      </c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40" t="s">
        <v>142</v>
      </c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40" t="s">
        <v>142</v>
      </c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40" t="s">
        <v>142</v>
      </c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40" t="s">
        <v>142</v>
      </c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40" t="s">
        <v>142</v>
      </c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40" t="s">
        <v>142</v>
      </c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40" t="s">
        <v>142</v>
      </c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40" t="s">
        <v>142</v>
      </c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40" t="s">
        <v>142</v>
      </c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40" t="s">
        <v>142</v>
      </c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40" t="s">
        <v>142</v>
      </c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3"/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3"/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3"/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3"/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3"/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3"/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3"/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3"/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3"/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3"/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3"/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3"/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  <row r="1000">
      <c r="B1000" s="130"/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conditionalFormatting sqref="G16">
    <cfRule type="notContainsBlanks" dxfId="2" priority="3">
      <formula>LEN(TRIM(G16))&gt;0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18.25"/>
    <col customWidth="1" min="8" max="8" width="14.0"/>
    <col customWidth="1" min="10" max="10" width="35.38"/>
    <col customWidth="1" min="11" max="11" width="22.0"/>
    <col customWidth="1" min="12" max="12" width="24.13"/>
  </cols>
  <sheetData>
    <row r="1">
      <c r="A1" s="145" t="s">
        <v>150</v>
      </c>
      <c r="B1" s="120"/>
      <c r="C1" s="120"/>
      <c r="D1" s="120"/>
      <c r="E1" s="120"/>
      <c r="F1" s="120"/>
      <c r="G1" s="120"/>
      <c r="H1" s="105"/>
    </row>
    <row r="2">
      <c r="A2" s="121"/>
      <c r="B2" s="122"/>
      <c r="C2" s="122"/>
      <c r="D2" s="122"/>
      <c r="E2" s="122"/>
      <c r="F2" s="122"/>
      <c r="G2" s="122"/>
      <c r="H2" s="30"/>
    </row>
    <row r="3">
      <c r="A3" s="146" t="s">
        <v>117</v>
      </c>
      <c r="B3" s="147" t="s">
        <v>118</v>
      </c>
      <c r="C3" s="147" t="s">
        <v>119</v>
      </c>
      <c r="D3" s="147" t="s">
        <v>120</v>
      </c>
      <c r="E3" s="147" t="s">
        <v>121</v>
      </c>
      <c r="F3" s="143" t="s">
        <v>151</v>
      </c>
      <c r="G3" s="148" t="s">
        <v>122</v>
      </c>
      <c r="H3" s="149" t="s">
        <v>126</v>
      </c>
    </row>
    <row r="4">
      <c r="A4" s="31"/>
      <c r="B4" s="31"/>
      <c r="C4" s="31"/>
      <c r="D4" s="31"/>
      <c r="E4" s="31"/>
      <c r="F4" s="31"/>
      <c r="G4" s="31"/>
    </row>
    <row r="5">
      <c r="A5" s="150">
        <v>1.0</v>
      </c>
      <c r="B5" s="151">
        <v>46119.0</v>
      </c>
      <c r="C5" s="152" t="s">
        <v>152</v>
      </c>
      <c r="D5" s="153">
        <v>0.6944444444444444</v>
      </c>
      <c r="E5" s="153">
        <v>0.6993055555555555</v>
      </c>
      <c r="F5" s="152">
        <v>99.82</v>
      </c>
      <c r="G5" s="152" t="s">
        <v>128</v>
      </c>
      <c r="H5" s="154">
        <f t="shared" ref="H5:H81" si="1">E5-D5</f>
        <v>0.004861111111</v>
      </c>
    </row>
    <row r="6">
      <c r="A6" s="150">
        <v>2.0</v>
      </c>
      <c r="B6" s="151">
        <v>46119.0</v>
      </c>
      <c r="C6" s="152" t="s">
        <v>152</v>
      </c>
      <c r="D6" s="153">
        <v>0.7</v>
      </c>
      <c r="E6" s="153">
        <v>0.7055555555555556</v>
      </c>
      <c r="F6" s="152">
        <v>99.62</v>
      </c>
      <c r="G6" s="152" t="s">
        <v>128</v>
      </c>
      <c r="H6" s="154">
        <f t="shared" si="1"/>
        <v>0.005555555556</v>
      </c>
    </row>
    <row r="7">
      <c r="A7" s="150">
        <v>3.0</v>
      </c>
      <c r="B7" s="151">
        <v>46119.0</v>
      </c>
      <c r="C7" s="152" t="s">
        <v>152</v>
      </c>
      <c r="D7" s="153">
        <v>0.7055555555555556</v>
      </c>
      <c r="E7" s="153">
        <v>0.7104166666666667</v>
      </c>
      <c r="F7" s="152">
        <v>99.7</v>
      </c>
      <c r="G7" s="152" t="s">
        <v>128</v>
      </c>
      <c r="H7" s="154">
        <f t="shared" si="1"/>
        <v>0.004861111111</v>
      </c>
    </row>
    <row r="8">
      <c r="A8" s="150">
        <v>4.0</v>
      </c>
      <c r="B8" s="151">
        <v>46119.0</v>
      </c>
      <c r="C8" s="152" t="s">
        <v>152</v>
      </c>
      <c r="D8" s="153">
        <v>0.7111111111111111</v>
      </c>
      <c r="E8" s="153">
        <v>0.7159722222222222</v>
      </c>
      <c r="F8" s="152">
        <v>99.88</v>
      </c>
      <c r="G8" s="152" t="s">
        <v>128</v>
      </c>
      <c r="H8" s="154">
        <f t="shared" si="1"/>
        <v>0.004861111111</v>
      </c>
    </row>
    <row r="9">
      <c r="A9" s="150">
        <v>5.0</v>
      </c>
      <c r="B9" s="151">
        <v>46119.0</v>
      </c>
      <c r="C9" s="152" t="s">
        <v>152</v>
      </c>
      <c r="D9" s="153">
        <v>0.7166666666666667</v>
      </c>
      <c r="E9" s="153">
        <v>0.7222222222222222</v>
      </c>
      <c r="F9" s="152">
        <v>99.82</v>
      </c>
      <c r="G9" s="152" t="s">
        <v>128</v>
      </c>
      <c r="H9" s="154">
        <f t="shared" si="1"/>
        <v>0.005555555556</v>
      </c>
    </row>
    <row r="10">
      <c r="A10" s="150">
        <v>6.0</v>
      </c>
      <c r="B10" s="151">
        <v>46119.0</v>
      </c>
      <c r="C10" s="152" t="s">
        <v>152</v>
      </c>
      <c r="D10" s="153">
        <v>0.7222222222222222</v>
      </c>
      <c r="E10" s="153">
        <v>0.7270833333333333</v>
      </c>
      <c r="F10" s="152">
        <v>99.9</v>
      </c>
      <c r="G10" s="152" t="s">
        <v>128</v>
      </c>
      <c r="H10" s="154">
        <f t="shared" si="1"/>
        <v>0.004861111111</v>
      </c>
    </row>
    <row r="11">
      <c r="A11" s="150">
        <v>7.0</v>
      </c>
      <c r="B11" s="151">
        <v>46119.0</v>
      </c>
      <c r="C11" s="152" t="s">
        <v>152</v>
      </c>
      <c r="D11" s="153">
        <v>0.7277777777777777</v>
      </c>
      <c r="E11" s="153">
        <v>0.7326388888888888</v>
      </c>
      <c r="F11" s="152">
        <v>99.9</v>
      </c>
      <c r="G11" s="152" t="s">
        <v>128</v>
      </c>
      <c r="H11" s="154">
        <f t="shared" si="1"/>
        <v>0.004861111111</v>
      </c>
    </row>
    <row r="12">
      <c r="A12" s="150">
        <v>8.0</v>
      </c>
      <c r="B12" s="152"/>
      <c r="C12" s="152" t="s">
        <v>152</v>
      </c>
      <c r="D12" s="155">
        <v>0.0</v>
      </c>
      <c r="E12" s="155">
        <v>0.0</v>
      </c>
      <c r="F12" s="156"/>
      <c r="G12" s="157"/>
      <c r="H12" s="154">
        <f t="shared" si="1"/>
        <v>0</v>
      </c>
    </row>
    <row r="13">
      <c r="A13" s="150">
        <v>9.0</v>
      </c>
      <c r="B13" s="152"/>
      <c r="C13" s="152" t="s">
        <v>152</v>
      </c>
      <c r="D13" s="155">
        <v>0.0</v>
      </c>
      <c r="E13" s="155">
        <v>0.0</v>
      </c>
      <c r="F13" s="156"/>
      <c r="G13" s="157"/>
      <c r="H13" s="154">
        <f t="shared" si="1"/>
        <v>0</v>
      </c>
    </row>
    <row r="14">
      <c r="A14" s="150">
        <v>10.0</v>
      </c>
      <c r="B14" s="152"/>
      <c r="C14" s="152" t="s">
        <v>152</v>
      </c>
      <c r="D14" s="155">
        <v>0.0</v>
      </c>
      <c r="E14" s="155">
        <v>0.0</v>
      </c>
      <c r="F14" s="156"/>
      <c r="G14" s="157"/>
      <c r="H14" s="154">
        <f t="shared" si="1"/>
        <v>0</v>
      </c>
    </row>
    <row r="15">
      <c r="A15" s="150">
        <v>11.0</v>
      </c>
      <c r="B15" s="152"/>
      <c r="C15" s="152" t="s">
        <v>152</v>
      </c>
      <c r="D15" s="155">
        <v>0.0</v>
      </c>
      <c r="E15" s="155">
        <v>0.0</v>
      </c>
      <c r="F15" s="156"/>
      <c r="G15" s="157"/>
      <c r="H15" s="154">
        <f t="shared" si="1"/>
        <v>0</v>
      </c>
    </row>
    <row r="16">
      <c r="A16" s="150">
        <v>12.0</v>
      </c>
      <c r="B16" s="152"/>
      <c r="C16" s="152" t="s">
        <v>152</v>
      </c>
      <c r="D16" s="155">
        <v>0.0</v>
      </c>
      <c r="E16" s="155">
        <v>0.0</v>
      </c>
      <c r="F16" s="156"/>
      <c r="G16" s="157"/>
      <c r="H16" s="154">
        <f t="shared" si="1"/>
        <v>0</v>
      </c>
      <c r="J16" s="73" t="s">
        <v>129</v>
      </c>
      <c r="K16" s="73" t="s">
        <v>130</v>
      </c>
      <c r="L16" s="73" t="s">
        <v>131</v>
      </c>
      <c r="M16" s="73" t="s">
        <v>132</v>
      </c>
      <c r="N16" s="73" t="s">
        <v>133</v>
      </c>
    </row>
    <row r="17">
      <c r="A17" s="150">
        <v>13.0</v>
      </c>
      <c r="B17" s="152"/>
      <c r="C17" s="152" t="s">
        <v>152</v>
      </c>
      <c r="D17" s="155">
        <v>0.0</v>
      </c>
      <c r="E17" s="155">
        <v>0.0</v>
      </c>
      <c r="F17" s="156"/>
      <c r="G17" s="157"/>
      <c r="H17" s="154">
        <f t="shared" si="1"/>
        <v>0</v>
      </c>
      <c r="J17" s="137">
        <f>COUNTA(G5:G92)</f>
        <v>7</v>
      </c>
      <c r="K17" s="138">
        <f>COUNTIF(G5:G93,"non")</f>
        <v>0</v>
      </c>
      <c r="L17" s="138">
        <f>COUNTIF(G5:G92,"oui")</f>
        <v>7</v>
      </c>
      <c r="M17" s="137">
        <f>(J17-K17)/J17</f>
        <v>1</v>
      </c>
      <c r="N17" s="139">
        <f>AVERAGEIF(H$5:H$200,"&lt;&gt;0")</f>
        <v>0.00505952381</v>
      </c>
    </row>
    <row r="18">
      <c r="A18" s="150">
        <v>14.0</v>
      </c>
      <c r="B18" s="152"/>
      <c r="C18" s="152" t="s">
        <v>152</v>
      </c>
      <c r="D18" s="155">
        <v>0.0</v>
      </c>
      <c r="E18" s="155">
        <v>0.0</v>
      </c>
      <c r="F18" s="156"/>
      <c r="G18" s="157"/>
      <c r="H18" s="154">
        <f t="shared" si="1"/>
        <v>0</v>
      </c>
    </row>
    <row r="19">
      <c r="A19" s="150">
        <v>15.0</v>
      </c>
      <c r="B19" s="152"/>
      <c r="C19" s="152" t="s">
        <v>152</v>
      </c>
      <c r="D19" s="155">
        <v>0.0</v>
      </c>
      <c r="E19" s="155">
        <v>0.0</v>
      </c>
      <c r="F19" s="156"/>
      <c r="G19" s="157"/>
      <c r="H19" s="154">
        <f t="shared" si="1"/>
        <v>0</v>
      </c>
    </row>
    <row r="20">
      <c r="A20" s="150">
        <v>16.0</v>
      </c>
      <c r="B20" s="152"/>
      <c r="C20" s="152" t="s">
        <v>152</v>
      </c>
      <c r="D20" s="155">
        <v>0.0</v>
      </c>
      <c r="E20" s="155">
        <v>0.0</v>
      </c>
      <c r="F20" s="156"/>
      <c r="G20" s="157"/>
      <c r="H20" s="154">
        <f t="shared" si="1"/>
        <v>0</v>
      </c>
    </row>
    <row r="21">
      <c r="A21" s="150">
        <v>17.0</v>
      </c>
      <c r="B21" s="152"/>
      <c r="C21" s="152" t="s">
        <v>152</v>
      </c>
      <c r="D21" s="155">
        <v>0.0</v>
      </c>
      <c r="E21" s="155">
        <v>0.0</v>
      </c>
      <c r="F21" s="156"/>
      <c r="G21" s="157"/>
      <c r="H21" s="154">
        <f t="shared" si="1"/>
        <v>0</v>
      </c>
    </row>
    <row r="22">
      <c r="A22" s="150">
        <v>18.0</v>
      </c>
      <c r="B22" s="152"/>
      <c r="C22" s="152" t="s">
        <v>152</v>
      </c>
      <c r="D22" s="155">
        <v>0.0</v>
      </c>
      <c r="E22" s="155">
        <v>0.0</v>
      </c>
      <c r="F22" s="156"/>
      <c r="G22" s="157"/>
      <c r="H22" s="154">
        <f t="shared" si="1"/>
        <v>0</v>
      </c>
    </row>
    <row r="23">
      <c r="A23" s="150">
        <v>19.0</v>
      </c>
      <c r="B23" s="152"/>
      <c r="C23" s="152" t="s">
        <v>152</v>
      </c>
      <c r="D23" s="155">
        <v>0.0</v>
      </c>
      <c r="E23" s="155">
        <v>0.0</v>
      </c>
      <c r="F23" s="156"/>
      <c r="G23" s="157"/>
      <c r="H23" s="154">
        <f t="shared" si="1"/>
        <v>0</v>
      </c>
    </row>
    <row r="24">
      <c r="A24" s="150">
        <v>20.0</v>
      </c>
      <c r="B24" s="152"/>
      <c r="C24" s="152" t="s">
        <v>152</v>
      </c>
      <c r="D24" s="155">
        <v>0.0</v>
      </c>
      <c r="E24" s="155">
        <v>0.0</v>
      </c>
      <c r="F24" s="156"/>
      <c r="G24" s="157"/>
      <c r="H24" s="154">
        <f t="shared" si="1"/>
        <v>0</v>
      </c>
    </row>
    <row r="25">
      <c r="A25" s="150">
        <v>21.0</v>
      </c>
      <c r="B25" s="152"/>
      <c r="C25" s="152" t="s">
        <v>152</v>
      </c>
      <c r="D25" s="155">
        <v>0.0</v>
      </c>
      <c r="E25" s="155">
        <v>0.0</v>
      </c>
      <c r="F25" s="156"/>
      <c r="G25" s="157"/>
      <c r="H25" s="154">
        <f t="shared" si="1"/>
        <v>0</v>
      </c>
    </row>
    <row r="26">
      <c r="A26" s="150">
        <v>22.0</v>
      </c>
      <c r="B26" s="152"/>
      <c r="C26" s="152" t="s">
        <v>152</v>
      </c>
      <c r="D26" s="155">
        <v>0.0</v>
      </c>
      <c r="E26" s="155">
        <v>0.0</v>
      </c>
      <c r="F26" s="156"/>
      <c r="G26" s="157"/>
      <c r="H26" s="154">
        <f t="shared" si="1"/>
        <v>0</v>
      </c>
    </row>
    <row r="27">
      <c r="A27" s="150">
        <v>23.0</v>
      </c>
      <c r="B27" s="152"/>
      <c r="C27" s="152" t="s">
        <v>152</v>
      </c>
      <c r="D27" s="155">
        <v>0.0</v>
      </c>
      <c r="E27" s="155">
        <v>0.0</v>
      </c>
      <c r="F27" s="156"/>
      <c r="G27" s="157"/>
      <c r="H27" s="154">
        <f t="shared" si="1"/>
        <v>0</v>
      </c>
    </row>
    <row r="28">
      <c r="A28" s="150">
        <v>24.0</v>
      </c>
      <c r="B28" s="152"/>
      <c r="C28" s="152" t="s">
        <v>152</v>
      </c>
      <c r="D28" s="155">
        <v>0.0</v>
      </c>
      <c r="E28" s="155">
        <v>0.0</v>
      </c>
      <c r="F28" s="156"/>
      <c r="G28" s="157"/>
      <c r="H28" s="154">
        <f t="shared" si="1"/>
        <v>0</v>
      </c>
    </row>
    <row r="29">
      <c r="A29" s="150">
        <v>25.0</v>
      </c>
      <c r="B29" s="152"/>
      <c r="C29" s="152" t="s">
        <v>152</v>
      </c>
      <c r="D29" s="155">
        <v>0.0</v>
      </c>
      <c r="E29" s="155">
        <v>0.0</v>
      </c>
      <c r="F29" s="156"/>
      <c r="G29" s="157"/>
      <c r="H29" s="154">
        <f t="shared" si="1"/>
        <v>0</v>
      </c>
    </row>
    <row r="30">
      <c r="A30" s="150">
        <v>26.0</v>
      </c>
      <c r="B30" s="152"/>
      <c r="C30" s="152" t="s">
        <v>152</v>
      </c>
      <c r="D30" s="155">
        <v>0.0</v>
      </c>
      <c r="E30" s="155">
        <v>0.0</v>
      </c>
      <c r="F30" s="156"/>
      <c r="G30" s="157"/>
      <c r="H30" s="154">
        <f t="shared" si="1"/>
        <v>0</v>
      </c>
    </row>
    <row r="31">
      <c r="A31" s="150">
        <v>27.0</v>
      </c>
      <c r="B31" s="152"/>
      <c r="C31" s="152" t="s">
        <v>152</v>
      </c>
      <c r="D31" s="155">
        <v>0.0</v>
      </c>
      <c r="E31" s="155">
        <v>0.0</v>
      </c>
      <c r="F31" s="156"/>
      <c r="G31" s="157"/>
      <c r="H31" s="154">
        <f t="shared" si="1"/>
        <v>0</v>
      </c>
    </row>
    <row r="32">
      <c r="A32" s="150">
        <v>28.0</v>
      </c>
      <c r="B32" s="152"/>
      <c r="C32" s="152" t="s">
        <v>152</v>
      </c>
      <c r="D32" s="155">
        <v>0.0</v>
      </c>
      <c r="E32" s="155">
        <v>0.0</v>
      </c>
      <c r="F32" s="156"/>
      <c r="G32" s="157"/>
      <c r="H32" s="154">
        <f t="shared" si="1"/>
        <v>0</v>
      </c>
    </row>
    <row r="33">
      <c r="A33" s="150">
        <v>29.0</v>
      </c>
      <c r="B33" s="152"/>
      <c r="C33" s="152" t="s">
        <v>152</v>
      </c>
      <c r="D33" s="155">
        <v>0.0</v>
      </c>
      <c r="E33" s="155">
        <v>0.0</v>
      </c>
      <c r="F33" s="156"/>
      <c r="G33" s="157"/>
      <c r="H33" s="154">
        <f t="shared" si="1"/>
        <v>0</v>
      </c>
    </row>
    <row r="34">
      <c r="A34" s="150">
        <v>30.0</v>
      </c>
      <c r="B34" s="152"/>
      <c r="C34" s="152" t="s">
        <v>152</v>
      </c>
      <c r="D34" s="155">
        <v>0.0</v>
      </c>
      <c r="E34" s="155">
        <v>0.0</v>
      </c>
      <c r="F34" s="156"/>
      <c r="G34" s="157"/>
      <c r="H34" s="154">
        <f t="shared" si="1"/>
        <v>0</v>
      </c>
    </row>
    <row r="35">
      <c r="A35" s="150">
        <v>31.0</v>
      </c>
      <c r="B35" s="152"/>
      <c r="C35" s="152" t="s">
        <v>152</v>
      </c>
      <c r="D35" s="155">
        <v>0.0</v>
      </c>
      <c r="E35" s="155">
        <v>0.0</v>
      </c>
      <c r="F35" s="156"/>
      <c r="G35" s="157"/>
      <c r="H35" s="154">
        <f t="shared" si="1"/>
        <v>0</v>
      </c>
    </row>
    <row r="36">
      <c r="A36" s="150">
        <v>32.0</v>
      </c>
      <c r="B36" s="152"/>
      <c r="C36" s="152" t="s">
        <v>152</v>
      </c>
      <c r="D36" s="155">
        <v>0.0</v>
      </c>
      <c r="E36" s="155">
        <v>0.0</v>
      </c>
      <c r="F36" s="156"/>
      <c r="G36" s="157"/>
      <c r="H36" s="154">
        <f t="shared" si="1"/>
        <v>0</v>
      </c>
    </row>
    <row r="37">
      <c r="A37" s="150">
        <v>33.0</v>
      </c>
      <c r="B37" s="152"/>
      <c r="C37" s="152" t="s">
        <v>152</v>
      </c>
      <c r="D37" s="155">
        <v>0.0</v>
      </c>
      <c r="E37" s="155">
        <v>0.0</v>
      </c>
      <c r="F37" s="156"/>
      <c r="G37" s="156"/>
      <c r="H37" s="154">
        <f t="shared" si="1"/>
        <v>0</v>
      </c>
    </row>
    <row r="38">
      <c r="A38" s="150">
        <v>34.0</v>
      </c>
      <c r="B38" s="152"/>
      <c r="C38" s="152" t="s">
        <v>152</v>
      </c>
      <c r="D38" s="155">
        <v>0.0</v>
      </c>
      <c r="E38" s="155">
        <v>0.0</v>
      </c>
      <c r="F38" s="156"/>
      <c r="G38" s="156"/>
      <c r="H38" s="154">
        <f t="shared" si="1"/>
        <v>0</v>
      </c>
    </row>
    <row r="39">
      <c r="A39" s="150">
        <v>35.0</v>
      </c>
      <c r="B39" s="152"/>
      <c r="C39" s="152" t="s">
        <v>152</v>
      </c>
      <c r="D39" s="155">
        <v>0.0</v>
      </c>
      <c r="E39" s="155">
        <v>0.0</v>
      </c>
      <c r="F39" s="156"/>
      <c r="G39" s="156"/>
      <c r="H39" s="154">
        <f t="shared" si="1"/>
        <v>0</v>
      </c>
    </row>
    <row r="40">
      <c r="A40" s="150">
        <v>36.0</v>
      </c>
      <c r="B40" s="152"/>
      <c r="C40" s="152" t="s">
        <v>152</v>
      </c>
      <c r="D40" s="155">
        <v>0.0</v>
      </c>
      <c r="E40" s="155">
        <v>0.0</v>
      </c>
      <c r="F40" s="156"/>
      <c r="G40" s="156"/>
      <c r="H40" s="154">
        <f t="shared" si="1"/>
        <v>0</v>
      </c>
    </row>
    <row r="41">
      <c r="A41" s="150">
        <v>37.0</v>
      </c>
      <c r="B41" s="152"/>
      <c r="C41" s="152" t="s">
        <v>152</v>
      </c>
      <c r="D41" s="155">
        <v>0.0</v>
      </c>
      <c r="E41" s="155">
        <v>0.0</v>
      </c>
      <c r="F41" s="156"/>
      <c r="G41" s="156"/>
      <c r="H41" s="154">
        <f t="shared" si="1"/>
        <v>0</v>
      </c>
    </row>
    <row r="42">
      <c r="A42" s="150">
        <v>38.0</v>
      </c>
      <c r="B42" s="152"/>
      <c r="C42" s="152" t="s">
        <v>152</v>
      </c>
      <c r="D42" s="155">
        <v>0.0</v>
      </c>
      <c r="E42" s="155">
        <v>0.0</v>
      </c>
      <c r="F42" s="156"/>
      <c r="G42" s="156"/>
      <c r="H42" s="154">
        <f t="shared" si="1"/>
        <v>0</v>
      </c>
    </row>
    <row r="43">
      <c r="A43" s="150">
        <v>39.0</v>
      </c>
      <c r="B43" s="152"/>
      <c r="C43" s="152" t="s">
        <v>152</v>
      </c>
      <c r="D43" s="155">
        <v>0.0</v>
      </c>
      <c r="E43" s="155">
        <v>0.0</v>
      </c>
      <c r="F43" s="156"/>
      <c r="G43" s="156"/>
      <c r="H43" s="154">
        <f t="shared" si="1"/>
        <v>0</v>
      </c>
    </row>
    <row r="44">
      <c r="A44" s="150">
        <v>40.0</v>
      </c>
      <c r="B44" s="152"/>
      <c r="C44" s="152" t="s">
        <v>152</v>
      </c>
      <c r="D44" s="155">
        <v>0.0</v>
      </c>
      <c r="E44" s="155">
        <v>0.0</v>
      </c>
      <c r="F44" s="156"/>
      <c r="G44" s="156"/>
      <c r="H44" s="154">
        <f t="shared" si="1"/>
        <v>0</v>
      </c>
    </row>
    <row r="45">
      <c r="A45" s="150">
        <v>41.0</v>
      </c>
      <c r="B45" s="152"/>
      <c r="C45" s="152" t="s">
        <v>152</v>
      </c>
      <c r="D45" s="155">
        <v>0.0</v>
      </c>
      <c r="E45" s="155">
        <v>0.0</v>
      </c>
      <c r="F45" s="156"/>
      <c r="G45" s="156"/>
      <c r="H45" s="154">
        <f t="shared" si="1"/>
        <v>0</v>
      </c>
    </row>
    <row r="46">
      <c r="A46" s="150">
        <v>42.0</v>
      </c>
      <c r="B46" s="152"/>
      <c r="C46" s="152" t="s">
        <v>152</v>
      </c>
      <c r="D46" s="155">
        <v>0.0</v>
      </c>
      <c r="E46" s="155">
        <v>0.0</v>
      </c>
      <c r="F46" s="156"/>
      <c r="G46" s="156"/>
      <c r="H46" s="154">
        <f t="shared" si="1"/>
        <v>0</v>
      </c>
    </row>
    <row r="47">
      <c r="A47" s="150">
        <v>43.0</v>
      </c>
      <c r="B47" s="152"/>
      <c r="C47" s="152" t="s">
        <v>152</v>
      </c>
      <c r="D47" s="155">
        <v>0.0</v>
      </c>
      <c r="E47" s="155">
        <v>0.0</v>
      </c>
      <c r="F47" s="156"/>
      <c r="G47" s="156"/>
      <c r="H47" s="154">
        <f t="shared" si="1"/>
        <v>0</v>
      </c>
    </row>
    <row r="48">
      <c r="A48" s="150">
        <v>44.0</v>
      </c>
      <c r="B48" s="152"/>
      <c r="C48" s="152" t="s">
        <v>152</v>
      </c>
      <c r="D48" s="155">
        <v>0.0</v>
      </c>
      <c r="E48" s="155">
        <v>0.0</v>
      </c>
      <c r="F48" s="156"/>
      <c r="G48" s="156"/>
      <c r="H48" s="154">
        <f t="shared" si="1"/>
        <v>0</v>
      </c>
    </row>
    <row r="49">
      <c r="A49" s="150">
        <v>45.0</v>
      </c>
      <c r="B49" s="152"/>
      <c r="C49" s="152" t="s">
        <v>152</v>
      </c>
      <c r="D49" s="155">
        <v>0.0</v>
      </c>
      <c r="E49" s="155">
        <v>0.0</v>
      </c>
      <c r="F49" s="156"/>
      <c r="G49" s="156"/>
      <c r="H49" s="154">
        <f t="shared" si="1"/>
        <v>0</v>
      </c>
    </row>
    <row r="50">
      <c r="A50" s="150">
        <v>46.0</v>
      </c>
      <c r="B50" s="152"/>
      <c r="C50" s="152" t="s">
        <v>152</v>
      </c>
      <c r="D50" s="155">
        <v>0.0</v>
      </c>
      <c r="E50" s="155">
        <v>0.0</v>
      </c>
      <c r="F50" s="156"/>
      <c r="G50" s="156"/>
      <c r="H50" s="154">
        <f t="shared" si="1"/>
        <v>0</v>
      </c>
    </row>
    <row r="51">
      <c r="A51" s="150">
        <v>47.0</v>
      </c>
      <c r="B51" s="152"/>
      <c r="C51" s="152" t="s">
        <v>152</v>
      </c>
      <c r="D51" s="155">
        <v>0.0</v>
      </c>
      <c r="E51" s="155">
        <v>0.0</v>
      </c>
      <c r="F51" s="156"/>
      <c r="G51" s="156"/>
      <c r="H51" s="154">
        <f t="shared" si="1"/>
        <v>0</v>
      </c>
    </row>
    <row r="52">
      <c r="A52" s="150">
        <v>48.0</v>
      </c>
      <c r="B52" s="152"/>
      <c r="C52" s="152" t="s">
        <v>152</v>
      </c>
      <c r="D52" s="155">
        <v>0.0</v>
      </c>
      <c r="E52" s="155">
        <v>0.0</v>
      </c>
      <c r="F52" s="156"/>
      <c r="G52" s="156"/>
      <c r="H52" s="154">
        <f t="shared" si="1"/>
        <v>0</v>
      </c>
    </row>
    <row r="53">
      <c r="A53" s="150">
        <v>49.0</v>
      </c>
      <c r="B53" s="152"/>
      <c r="C53" s="152" t="s">
        <v>152</v>
      </c>
      <c r="D53" s="155">
        <v>0.0</v>
      </c>
      <c r="E53" s="155">
        <v>0.0</v>
      </c>
      <c r="F53" s="156"/>
      <c r="G53" s="156"/>
      <c r="H53" s="154">
        <f t="shared" si="1"/>
        <v>0</v>
      </c>
    </row>
    <row r="54">
      <c r="A54" s="150">
        <v>50.0</v>
      </c>
      <c r="B54" s="152"/>
      <c r="C54" s="152" t="s">
        <v>152</v>
      </c>
      <c r="D54" s="155">
        <v>0.0</v>
      </c>
      <c r="E54" s="155">
        <v>0.0</v>
      </c>
      <c r="F54" s="156"/>
      <c r="G54" s="156"/>
      <c r="H54" s="154">
        <f t="shared" si="1"/>
        <v>0</v>
      </c>
    </row>
    <row r="55">
      <c r="A55" s="150">
        <v>51.0</v>
      </c>
      <c r="B55" s="152"/>
      <c r="C55" s="152" t="s">
        <v>152</v>
      </c>
      <c r="D55" s="155">
        <v>0.0</v>
      </c>
      <c r="E55" s="155">
        <v>0.0</v>
      </c>
      <c r="F55" s="156"/>
      <c r="G55" s="156"/>
      <c r="H55" s="154">
        <f t="shared" si="1"/>
        <v>0</v>
      </c>
    </row>
    <row r="56">
      <c r="A56" s="150">
        <v>52.0</v>
      </c>
      <c r="B56" s="152"/>
      <c r="C56" s="152" t="s">
        <v>152</v>
      </c>
      <c r="D56" s="155">
        <v>0.0</v>
      </c>
      <c r="E56" s="155">
        <v>0.0</v>
      </c>
      <c r="F56" s="156"/>
      <c r="G56" s="156"/>
      <c r="H56" s="154">
        <f t="shared" si="1"/>
        <v>0</v>
      </c>
    </row>
    <row r="57">
      <c r="A57" s="150">
        <v>53.0</v>
      </c>
      <c r="B57" s="152"/>
      <c r="C57" s="152" t="s">
        <v>152</v>
      </c>
      <c r="D57" s="155">
        <v>0.0</v>
      </c>
      <c r="E57" s="155">
        <v>0.0</v>
      </c>
      <c r="F57" s="156"/>
      <c r="G57" s="156"/>
      <c r="H57" s="154">
        <f t="shared" si="1"/>
        <v>0</v>
      </c>
    </row>
    <row r="58">
      <c r="A58" s="150">
        <v>54.0</v>
      </c>
      <c r="B58" s="152"/>
      <c r="C58" s="152" t="s">
        <v>152</v>
      </c>
      <c r="D58" s="155">
        <v>0.0</v>
      </c>
      <c r="E58" s="155">
        <v>0.0</v>
      </c>
      <c r="F58" s="156"/>
      <c r="G58" s="156"/>
      <c r="H58" s="154">
        <f t="shared" si="1"/>
        <v>0</v>
      </c>
    </row>
    <row r="59">
      <c r="A59" s="150">
        <v>55.0</v>
      </c>
      <c r="B59" s="152"/>
      <c r="C59" s="152" t="s">
        <v>152</v>
      </c>
      <c r="D59" s="155">
        <v>0.0</v>
      </c>
      <c r="E59" s="155">
        <v>0.0</v>
      </c>
      <c r="F59" s="156"/>
      <c r="G59" s="156"/>
      <c r="H59" s="154">
        <f t="shared" si="1"/>
        <v>0</v>
      </c>
    </row>
    <row r="60">
      <c r="A60" s="150">
        <v>56.0</v>
      </c>
      <c r="B60" s="152"/>
      <c r="C60" s="152" t="s">
        <v>152</v>
      </c>
      <c r="D60" s="155">
        <v>0.0</v>
      </c>
      <c r="E60" s="155">
        <v>0.0</v>
      </c>
      <c r="F60" s="156"/>
      <c r="G60" s="156"/>
      <c r="H60" s="154">
        <f t="shared" si="1"/>
        <v>0</v>
      </c>
    </row>
    <row r="61">
      <c r="A61" s="150">
        <v>57.0</v>
      </c>
      <c r="B61" s="152"/>
      <c r="C61" s="152" t="s">
        <v>152</v>
      </c>
      <c r="D61" s="155">
        <v>0.0</v>
      </c>
      <c r="E61" s="155">
        <v>0.0</v>
      </c>
      <c r="F61" s="156"/>
      <c r="G61" s="156"/>
      <c r="H61" s="154">
        <f t="shared" si="1"/>
        <v>0</v>
      </c>
    </row>
    <row r="62">
      <c r="A62" s="150">
        <v>58.0</v>
      </c>
      <c r="B62" s="152"/>
      <c r="C62" s="152" t="s">
        <v>152</v>
      </c>
      <c r="D62" s="155">
        <v>0.0</v>
      </c>
      <c r="E62" s="155">
        <v>0.0</v>
      </c>
      <c r="F62" s="156"/>
      <c r="G62" s="156"/>
      <c r="H62" s="154">
        <f t="shared" si="1"/>
        <v>0</v>
      </c>
    </row>
    <row r="63">
      <c r="A63" s="150">
        <v>59.0</v>
      </c>
      <c r="B63" s="152"/>
      <c r="C63" s="152" t="s">
        <v>152</v>
      </c>
      <c r="D63" s="155">
        <v>0.0</v>
      </c>
      <c r="E63" s="155">
        <v>0.0</v>
      </c>
      <c r="F63" s="156"/>
      <c r="G63" s="156"/>
      <c r="H63" s="154">
        <f t="shared" si="1"/>
        <v>0</v>
      </c>
    </row>
    <row r="64">
      <c r="A64" s="150">
        <v>60.0</v>
      </c>
      <c r="B64" s="152"/>
      <c r="C64" s="152" t="s">
        <v>152</v>
      </c>
      <c r="D64" s="155">
        <v>0.0</v>
      </c>
      <c r="E64" s="155">
        <v>0.0</v>
      </c>
      <c r="F64" s="156"/>
      <c r="G64" s="156"/>
      <c r="H64" s="154">
        <f t="shared" si="1"/>
        <v>0</v>
      </c>
    </row>
    <row r="65">
      <c r="A65" s="150">
        <v>61.0</v>
      </c>
      <c r="B65" s="152"/>
      <c r="C65" s="152" t="s">
        <v>152</v>
      </c>
      <c r="D65" s="155">
        <v>0.0</v>
      </c>
      <c r="E65" s="155">
        <v>0.0</v>
      </c>
      <c r="F65" s="156"/>
      <c r="G65" s="156"/>
      <c r="H65" s="154">
        <f t="shared" si="1"/>
        <v>0</v>
      </c>
    </row>
    <row r="66">
      <c r="A66" s="150">
        <v>62.0</v>
      </c>
      <c r="B66" s="152"/>
      <c r="C66" s="152" t="s">
        <v>152</v>
      </c>
      <c r="D66" s="155">
        <v>0.0</v>
      </c>
      <c r="E66" s="155">
        <v>0.0</v>
      </c>
      <c r="F66" s="156"/>
      <c r="G66" s="156"/>
      <c r="H66" s="154">
        <f t="shared" si="1"/>
        <v>0</v>
      </c>
    </row>
    <row r="67">
      <c r="A67" s="150">
        <v>63.0</v>
      </c>
      <c r="B67" s="152"/>
      <c r="C67" s="152" t="s">
        <v>152</v>
      </c>
      <c r="D67" s="155">
        <v>0.0</v>
      </c>
      <c r="E67" s="155">
        <v>0.0</v>
      </c>
      <c r="F67" s="156"/>
      <c r="G67" s="156"/>
      <c r="H67" s="154">
        <f t="shared" si="1"/>
        <v>0</v>
      </c>
    </row>
    <row r="68">
      <c r="A68" s="150">
        <v>64.0</v>
      </c>
      <c r="B68" s="152"/>
      <c r="C68" s="152" t="s">
        <v>152</v>
      </c>
      <c r="D68" s="155">
        <v>0.0</v>
      </c>
      <c r="E68" s="155">
        <v>0.0</v>
      </c>
      <c r="F68" s="156"/>
      <c r="G68" s="156"/>
      <c r="H68" s="154">
        <f t="shared" si="1"/>
        <v>0</v>
      </c>
    </row>
    <row r="69">
      <c r="A69" s="150">
        <v>65.0</v>
      </c>
      <c r="B69" s="152"/>
      <c r="C69" s="152" t="s">
        <v>152</v>
      </c>
      <c r="D69" s="155">
        <v>0.0</v>
      </c>
      <c r="E69" s="155">
        <v>0.0</v>
      </c>
      <c r="F69" s="156"/>
      <c r="G69" s="156"/>
      <c r="H69" s="154">
        <f t="shared" si="1"/>
        <v>0</v>
      </c>
    </row>
    <row r="70">
      <c r="A70" s="150">
        <v>66.0</v>
      </c>
      <c r="B70" s="152"/>
      <c r="C70" s="152" t="s">
        <v>152</v>
      </c>
      <c r="D70" s="155">
        <v>0.0</v>
      </c>
      <c r="E70" s="155">
        <v>0.0</v>
      </c>
      <c r="F70" s="156"/>
      <c r="G70" s="156"/>
      <c r="H70" s="154">
        <f t="shared" si="1"/>
        <v>0</v>
      </c>
    </row>
    <row r="71">
      <c r="A71" s="150">
        <v>67.0</v>
      </c>
      <c r="B71" s="152"/>
      <c r="C71" s="152" t="s">
        <v>152</v>
      </c>
      <c r="D71" s="155">
        <v>0.0</v>
      </c>
      <c r="E71" s="155">
        <v>0.0</v>
      </c>
      <c r="F71" s="156"/>
      <c r="G71" s="156"/>
      <c r="H71" s="154">
        <f t="shared" si="1"/>
        <v>0</v>
      </c>
    </row>
    <row r="72">
      <c r="A72" s="150">
        <v>68.0</v>
      </c>
      <c r="B72" s="152"/>
      <c r="C72" s="152" t="s">
        <v>152</v>
      </c>
      <c r="D72" s="155">
        <v>0.0</v>
      </c>
      <c r="E72" s="155">
        <v>0.0</v>
      </c>
      <c r="F72" s="156"/>
      <c r="G72" s="156"/>
      <c r="H72" s="154">
        <f t="shared" si="1"/>
        <v>0</v>
      </c>
    </row>
    <row r="73">
      <c r="A73" s="150">
        <v>69.0</v>
      </c>
      <c r="B73" s="152"/>
      <c r="C73" s="152" t="s">
        <v>152</v>
      </c>
      <c r="D73" s="155">
        <v>0.0</v>
      </c>
      <c r="E73" s="155">
        <v>0.0</v>
      </c>
      <c r="F73" s="156"/>
      <c r="G73" s="156"/>
      <c r="H73" s="154">
        <f t="shared" si="1"/>
        <v>0</v>
      </c>
    </row>
    <row r="74">
      <c r="A74" s="150">
        <v>70.0</v>
      </c>
      <c r="B74" s="152"/>
      <c r="C74" s="152" t="s">
        <v>152</v>
      </c>
      <c r="D74" s="155">
        <v>0.0</v>
      </c>
      <c r="E74" s="155">
        <v>0.0</v>
      </c>
      <c r="F74" s="156"/>
      <c r="G74" s="156"/>
      <c r="H74" s="154">
        <f t="shared" si="1"/>
        <v>0</v>
      </c>
    </row>
    <row r="75">
      <c r="A75" s="150">
        <v>71.0</v>
      </c>
      <c r="B75" s="152"/>
      <c r="C75" s="152" t="s">
        <v>152</v>
      </c>
      <c r="D75" s="155">
        <v>0.0</v>
      </c>
      <c r="E75" s="155">
        <v>0.0</v>
      </c>
      <c r="F75" s="156"/>
      <c r="G75" s="156"/>
      <c r="H75" s="154">
        <f t="shared" si="1"/>
        <v>0</v>
      </c>
    </row>
    <row r="76">
      <c r="A76" s="150">
        <v>72.0</v>
      </c>
      <c r="B76" s="152"/>
      <c r="C76" s="152" t="s">
        <v>152</v>
      </c>
      <c r="D76" s="155">
        <v>0.0</v>
      </c>
      <c r="E76" s="155">
        <v>0.0</v>
      </c>
      <c r="F76" s="156"/>
      <c r="G76" s="156"/>
      <c r="H76" s="154">
        <f t="shared" si="1"/>
        <v>0</v>
      </c>
    </row>
    <row r="77">
      <c r="A77" s="150">
        <v>73.0</v>
      </c>
      <c r="B77" s="152"/>
      <c r="C77" s="152" t="s">
        <v>152</v>
      </c>
      <c r="D77" s="155">
        <v>0.0</v>
      </c>
      <c r="E77" s="155">
        <v>0.0</v>
      </c>
      <c r="F77" s="156"/>
      <c r="G77" s="156"/>
      <c r="H77" s="154">
        <f t="shared" si="1"/>
        <v>0</v>
      </c>
    </row>
    <row r="78">
      <c r="A78" s="150">
        <v>74.0</v>
      </c>
      <c r="B78" s="152"/>
      <c r="C78" s="152" t="s">
        <v>152</v>
      </c>
      <c r="D78" s="155">
        <v>0.0</v>
      </c>
      <c r="E78" s="155">
        <v>0.0</v>
      </c>
      <c r="F78" s="156"/>
      <c r="G78" s="156"/>
      <c r="H78" s="154">
        <f t="shared" si="1"/>
        <v>0</v>
      </c>
    </row>
    <row r="79">
      <c r="A79" s="150">
        <v>75.0</v>
      </c>
      <c r="B79" s="152"/>
      <c r="C79" s="152" t="s">
        <v>152</v>
      </c>
      <c r="D79" s="155">
        <v>0.0</v>
      </c>
      <c r="E79" s="155">
        <v>0.0</v>
      </c>
      <c r="F79" s="156"/>
      <c r="G79" s="156"/>
      <c r="H79" s="154">
        <f t="shared" si="1"/>
        <v>0</v>
      </c>
    </row>
    <row r="80">
      <c r="A80" s="150">
        <v>76.0</v>
      </c>
      <c r="B80" s="152"/>
      <c r="C80" s="152" t="s">
        <v>152</v>
      </c>
      <c r="D80" s="155">
        <v>0.0</v>
      </c>
      <c r="E80" s="155">
        <v>0.0</v>
      </c>
      <c r="F80" s="156"/>
      <c r="G80" s="156"/>
      <c r="H80" s="154">
        <f t="shared" si="1"/>
        <v>0</v>
      </c>
    </row>
    <row r="81">
      <c r="A81" s="150">
        <v>77.0</v>
      </c>
      <c r="B81" s="152"/>
      <c r="C81" s="152" t="s">
        <v>152</v>
      </c>
      <c r="D81" s="155">
        <v>0.0</v>
      </c>
      <c r="E81" s="155">
        <v>0.0</v>
      </c>
      <c r="F81" s="156"/>
      <c r="G81" s="156"/>
      <c r="H81" s="154">
        <f t="shared" si="1"/>
        <v>0</v>
      </c>
    </row>
  </sheetData>
  <mergeCells count="9">
    <mergeCell ref="G3:G4"/>
    <mergeCell ref="H3:H4"/>
    <mergeCell ref="A1:H2"/>
    <mergeCell ref="A3:A4"/>
    <mergeCell ref="B3:B4"/>
    <mergeCell ref="C3:C4"/>
    <mergeCell ref="D3:D4"/>
    <mergeCell ref="E3:E4"/>
    <mergeCell ref="F3:F4"/>
  </mergeCells>
  <conditionalFormatting sqref="G5:G500">
    <cfRule type="containsText" dxfId="7" priority="1" operator="containsText" text="oui">
      <formula>NOT(ISERROR(SEARCH(("oui"),(G5))))</formula>
    </cfRule>
  </conditionalFormatting>
  <conditionalFormatting sqref="G5:G500">
    <cfRule type="containsText" dxfId="6" priority="2" operator="containsText" text="non">
      <formula>NOT(ISERROR(SEARCH(("non"),(G5))))</formula>
    </cfRule>
  </conditionalFormatting>
  <conditionalFormatting sqref="F5:F81">
    <cfRule type="cellIs" dxfId="11" priority="3" operator="between">
      <formula>99.5</formula>
      <formula>100.5</formula>
    </cfRule>
  </conditionalFormatting>
  <conditionalFormatting sqref="F5:F81">
    <cfRule type="notContainsBlanks" dxfId="3" priority="4">
      <formula>LEN(TRIM(F5))&gt;0</formula>
    </cfRule>
  </conditionalFormatting>
  <dataValidations>
    <dataValidation type="list" allowBlank="1" showErrorMessage="1" sqref="B5:B81">
      <formula1>"07/04/2026,08/04/2026,09/04/2026,10/04/2026"</formula1>
    </dataValidation>
    <dataValidation type="list" allowBlank="1" showErrorMessage="1" sqref="G5:G81">
      <formula1>"OUI,NON"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16.5"/>
    <col customWidth="1" min="6" max="6" width="10.75"/>
    <col customWidth="1" min="7" max="10" width="10.63"/>
    <col customWidth="1" min="11" max="11" width="21.63"/>
  </cols>
  <sheetData>
    <row r="1">
      <c r="A1" s="158" t="s">
        <v>153</v>
      </c>
      <c r="B1" s="120"/>
      <c r="C1" s="120"/>
      <c r="D1" s="120"/>
      <c r="E1" s="120"/>
      <c r="F1" s="120"/>
      <c r="G1" s="120"/>
      <c r="H1" s="120"/>
      <c r="I1" s="120"/>
      <c r="J1" s="120"/>
      <c r="K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154</v>
      </c>
      <c r="H3" s="162" t="s">
        <v>155</v>
      </c>
      <c r="I3" s="162" t="s">
        <v>156</v>
      </c>
      <c r="J3" s="162" t="s">
        <v>157</v>
      </c>
      <c r="K3" s="163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</row>
    <row r="5">
      <c r="A5" s="164">
        <v>1.0</v>
      </c>
      <c r="B5" s="165">
        <v>46119.0</v>
      </c>
      <c r="C5" s="166" t="s">
        <v>25</v>
      </c>
      <c r="D5" s="167">
        <v>0.6770833333333334</v>
      </c>
      <c r="E5" s="167">
        <v>0.6875</v>
      </c>
      <c r="F5" s="166" t="s">
        <v>128</v>
      </c>
      <c r="G5" s="168"/>
      <c r="H5" s="168"/>
      <c r="I5" s="168"/>
      <c r="J5" s="168"/>
      <c r="K5" s="169">
        <f t="shared" ref="K5:K81" si="1">E5-D5</f>
        <v>0.01041666667</v>
      </c>
    </row>
    <row r="6">
      <c r="A6" s="164">
        <v>2.0</v>
      </c>
      <c r="B6" s="165">
        <v>46119.0</v>
      </c>
      <c r="C6" s="166" t="s">
        <v>25</v>
      </c>
      <c r="D6" s="167">
        <v>0.6875</v>
      </c>
      <c r="E6" s="167">
        <v>0.6979166666666666</v>
      </c>
      <c r="F6" s="166" t="s">
        <v>128</v>
      </c>
      <c r="G6" s="168"/>
      <c r="H6" s="168"/>
      <c r="I6" s="168"/>
      <c r="J6" s="168"/>
      <c r="K6" s="169">
        <f t="shared" si="1"/>
        <v>0.01041666667</v>
      </c>
      <c r="M6" s="73" t="s">
        <v>129</v>
      </c>
      <c r="N6" s="73" t="s">
        <v>130</v>
      </c>
      <c r="O6" s="73" t="s">
        <v>131</v>
      </c>
      <c r="P6" s="73" t="s">
        <v>132</v>
      </c>
      <c r="Q6" s="73" t="s">
        <v>133</v>
      </c>
    </row>
    <row r="7">
      <c r="A7" s="164">
        <v>3.0</v>
      </c>
      <c r="B7" s="165">
        <v>46119.0</v>
      </c>
      <c r="C7" s="166" t="s">
        <v>25</v>
      </c>
      <c r="D7" s="167">
        <v>0.6979166666666666</v>
      </c>
      <c r="E7" s="167">
        <v>0.7083333333333334</v>
      </c>
      <c r="F7" s="166" t="s">
        <v>128</v>
      </c>
      <c r="G7" s="168"/>
      <c r="H7" s="168"/>
      <c r="I7" s="168"/>
      <c r="J7" s="168"/>
      <c r="K7" s="169">
        <f t="shared" si="1"/>
        <v>0.01041666667</v>
      </c>
      <c r="M7" s="138">
        <f>COUNTA(F5:F92)</f>
        <v>4</v>
      </c>
      <c r="N7" s="138">
        <f>COUNTIF(F7:F93,"non")</f>
        <v>0</v>
      </c>
      <c r="O7" s="138">
        <f>COUNTIF(F7:F93,"oui")</f>
        <v>2</v>
      </c>
      <c r="P7" s="137">
        <f>(M7-N7)/M7</f>
        <v>1</v>
      </c>
      <c r="Q7" s="139">
        <f>AVERAGEIF(K$5:K$200,"&lt;&gt;0")</f>
        <v>0.01041666667</v>
      </c>
    </row>
    <row r="8">
      <c r="A8" s="164">
        <v>4.0</v>
      </c>
      <c r="B8" s="165">
        <v>46119.0</v>
      </c>
      <c r="C8" s="166" t="s">
        <v>25</v>
      </c>
      <c r="D8" s="167">
        <v>0.7083333333333334</v>
      </c>
      <c r="E8" s="167">
        <v>0.71875</v>
      </c>
      <c r="F8" s="166" t="s">
        <v>128</v>
      </c>
      <c r="G8" s="168"/>
      <c r="H8" s="168"/>
      <c r="I8" s="168"/>
      <c r="J8" s="168"/>
      <c r="K8" s="169">
        <f t="shared" si="1"/>
        <v>0.01041666667</v>
      </c>
    </row>
    <row r="9">
      <c r="A9" s="164">
        <v>5.0</v>
      </c>
      <c r="B9" s="170"/>
      <c r="C9" s="166" t="s">
        <v>25</v>
      </c>
      <c r="D9" s="171">
        <v>0.0</v>
      </c>
      <c r="E9" s="171">
        <v>0.0</v>
      </c>
      <c r="F9" s="172"/>
      <c r="G9" s="168"/>
      <c r="H9" s="168"/>
      <c r="I9" s="168"/>
      <c r="J9" s="168"/>
      <c r="K9" s="169">
        <f t="shared" si="1"/>
        <v>0</v>
      </c>
    </row>
    <row r="10">
      <c r="A10" s="164">
        <v>6.0</v>
      </c>
      <c r="B10" s="170"/>
      <c r="C10" s="166" t="s">
        <v>25</v>
      </c>
      <c r="D10" s="171">
        <v>0.0</v>
      </c>
      <c r="E10" s="171">
        <v>0.0</v>
      </c>
      <c r="F10" s="172"/>
      <c r="G10" s="168"/>
      <c r="H10" s="168"/>
      <c r="I10" s="168"/>
      <c r="J10" s="168"/>
      <c r="K10" s="169">
        <f t="shared" si="1"/>
        <v>0</v>
      </c>
    </row>
    <row r="11">
      <c r="A11" s="164">
        <v>7.0</v>
      </c>
      <c r="B11" s="170"/>
      <c r="C11" s="166" t="s">
        <v>25</v>
      </c>
      <c r="D11" s="171">
        <v>0.0</v>
      </c>
      <c r="E11" s="171">
        <v>0.0</v>
      </c>
      <c r="F11" s="172"/>
      <c r="G11" s="168"/>
      <c r="H11" s="168"/>
      <c r="I11" s="168"/>
      <c r="J11" s="168"/>
      <c r="K11" s="169">
        <f t="shared" si="1"/>
        <v>0</v>
      </c>
    </row>
    <row r="12">
      <c r="A12" s="164">
        <v>8.0</v>
      </c>
      <c r="B12" s="170"/>
      <c r="C12" s="166" t="s">
        <v>25</v>
      </c>
      <c r="D12" s="171">
        <v>0.0</v>
      </c>
      <c r="E12" s="171">
        <v>0.0</v>
      </c>
      <c r="F12" s="172"/>
      <c r="G12" s="168"/>
      <c r="H12" s="168"/>
      <c r="I12" s="168"/>
      <c r="J12" s="168"/>
      <c r="K12" s="169">
        <f t="shared" si="1"/>
        <v>0</v>
      </c>
    </row>
    <row r="13">
      <c r="A13" s="164">
        <v>9.0</v>
      </c>
      <c r="B13" s="170"/>
      <c r="C13" s="166" t="s">
        <v>25</v>
      </c>
      <c r="D13" s="171">
        <v>0.0</v>
      </c>
      <c r="E13" s="171">
        <v>0.0</v>
      </c>
      <c r="F13" s="172"/>
      <c r="G13" s="168"/>
      <c r="H13" s="168"/>
      <c r="I13" s="168"/>
      <c r="J13" s="168"/>
      <c r="K13" s="169">
        <f t="shared" si="1"/>
        <v>0</v>
      </c>
    </row>
    <row r="14">
      <c r="A14" s="164">
        <v>10.0</v>
      </c>
      <c r="B14" s="170"/>
      <c r="C14" s="166" t="s">
        <v>25</v>
      </c>
      <c r="D14" s="171">
        <v>0.0</v>
      </c>
      <c r="E14" s="171">
        <v>0.0</v>
      </c>
      <c r="F14" s="172"/>
      <c r="G14" s="168"/>
      <c r="H14" s="168"/>
      <c r="I14" s="168"/>
      <c r="J14" s="168"/>
      <c r="K14" s="169">
        <f t="shared" si="1"/>
        <v>0</v>
      </c>
    </row>
    <row r="15">
      <c r="A15" s="164">
        <v>11.0</v>
      </c>
      <c r="B15" s="170"/>
      <c r="C15" s="166" t="s">
        <v>25</v>
      </c>
      <c r="D15" s="171">
        <v>0.0</v>
      </c>
      <c r="E15" s="171">
        <v>0.0</v>
      </c>
      <c r="F15" s="172"/>
      <c r="G15" s="168"/>
      <c r="H15" s="168"/>
      <c r="I15" s="168"/>
      <c r="J15" s="168"/>
      <c r="K15" s="169">
        <f t="shared" si="1"/>
        <v>0</v>
      </c>
    </row>
    <row r="16">
      <c r="A16" s="164">
        <v>12.0</v>
      </c>
      <c r="B16" s="170"/>
      <c r="C16" s="166" t="s">
        <v>25</v>
      </c>
      <c r="D16" s="171">
        <v>0.0</v>
      </c>
      <c r="E16" s="171">
        <v>0.0</v>
      </c>
      <c r="F16" s="172"/>
      <c r="G16" s="168"/>
      <c r="H16" s="168"/>
      <c r="I16" s="168"/>
      <c r="J16" s="168"/>
      <c r="K16" s="169">
        <f t="shared" si="1"/>
        <v>0</v>
      </c>
    </row>
    <row r="17">
      <c r="A17" s="164">
        <v>13.0</v>
      </c>
      <c r="B17" s="170"/>
      <c r="C17" s="166" t="s">
        <v>25</v>
      </c>
      <c r="D17" s="171">
        <v>0.0</v>
      </c>
      <c r="E17" s="171">
        <v>0.0</v>
      </c>
      <c r="F17" s="172"/>
      <c r="G17" s="168"/>
      <c r="H17" s="168"/>
      <c r="I17" s="168"/>
      <c r="J17" s="168"/>
      <c r="K17" s="169">
        <f t="shared" si="1"/>
        <v>0</v>
      </c>
    </row>
    <row r="18">
      <c r="A18" s="164">
        <v>14.0</v>
      </c>
      <c r="B18" s="170"/>
      <c r="C18" s="166" t="s">
        <v>25</v>
      </c>
      <c r="D18" s="171">
        <v>0.0</v>
      </c>
      <c r="E18" s="171">
        <v>0.0</v>
      </c>
      <c r="F18" s="172"/>
      <c r="G18" s="168"/>
      <c r="H18" s="168"/>
      <c r="I18" s="168"/>
      <c r="J18" s="168"/>
      <c r="K18" s="169">
        <f t="shared" si="1"/>
        <v>0</v>
      </c>
    </row>
    <row r="19">
      <c r="A19" s="164">
        <v>15.0</v>
      </c>
      <c r="B19" s="170"/>
      <c r="C19" s="166" t="s">
        <v>25</v>
      </c>
      <c r="D19" s="171">
        <v>0.0</v>
      </c>
      <c r="E19" s="171">
        <v>0.0</v>
      </c>
      <c r="F19" s="172"/>
      <c r="G19" s="168"/>
      <c r="H19" s="168"/>
      <c r="I19" s="168"/>
      <c r="J19" s="168"/>
      <c r="K19" s="169">
        <f t="shared" si="1"/>
        <v>0</v>
      </c>
    </row>
    <row r="20">
      <c r="A20" s="164">
        <v>16.0</v>
      </c>
      <c r="B20" s="170"/>
      <c r="C20" s="166" t="s">
        <v>25</v>
      </c>
      <c r="D20" s="171">
        <v>0.0</v>
      </c>
      <c r="E20" s="171">
        <v>0.0</v>
      </c>
      <c r="F20" s="172"/>
      <c r="G20" s="168"/>
      <c r="H20" s="168"/>
      <c r="I20" s="168"/>
      <c r="J20" s="168"/>
      <c r="K20" s="169">
        <f t="shared" si="1"/>
        <v>0</v>
      </c>
    </row>
    <row r="21">
      <c r="A21" s="164">
        <v>17.0</v>
      </c>
      <c r="B21" s="170"/>
      <c r="C21" s="166" t="s">
        <v>25</v>
      </c>
      <c r="D21" s="171">
        <v>0.0</v>
      </c>
      <c r="E21" s="171">
        <v>0.0</v>
      </c>
      <c r="F21" s="172"/>
      <c r="G21" s="168"/>
      <c r="H21" s="168"/>
      <c r="I21" s="168"/>
      <c r="J21" s="168"/>
      <c r="K21" s="169">
        <f t="shared" si="1"/>
        <v>0</v>
      </c>
    </row>
    <row r="22">
      <c r="A22" s="164">
        <v>18.0</v>
      </c>
      <c r="B22" s="170"/>
      <c r="C22" s="166" t="s">
        <v>25</v>
      </c>
      <c r="D22" s="171">
        <v>0.0</v>
      </c>
      <c r="E22" s="171">
        <v>0.0</v>
      </c>
      <c r="F22" s="172"/>
      <c r="G22" s="168"/>
      <c r="H22" s="168"/>
      <c r="I22" s="168"/>
      <c r="J22" s="168"/>
      <c r="K22" s="169">
        <f t="shared" si="1"/>
        <v>0</v>
      </c>
    </row>
    <row r="23">
      <c r="A23" s="164">
        <v>19.0</v>
      </c>
      <c r="B23" s="170"/>
      <c r="C23" s="166" t="s">
        <v>25</v>
      </c>
      <c r="D23" s="171">
        <v>0.0</v>
      </c>
      <c r="E23" s="171">
        <v>0.0</v>
      </c>
      <c r="F23" s="172"/>
      <c r="G23" s="168"/>
      <c r="H23" s="168"/>
      <c r="I23" s="168"/>
      <c r="J23" s="168"/>
      <c r="K23" s="169">
        <f t="shared" si="1"/>
        <v>0</v>
      </c>
    </row>
    <row r="24">
      <c r="A24" s="164">
        <v>20.0</v>
      </c>
      <c r="B24" s="170"/>
      <c r="C24" s="166" t="s">
        <v>25</v>
      </c>
      <c r="D24" s="171">
        <v>0.0</v>
      </c>
      <c r="E24" s="171">
        <v>0.0</v>
      </c>
      <c r="F24" s="172"/>
      <c r="G24" s="168"/>
      <c r="H24" s="168"/>
      <c r="I24" s="168"/>
      <c r="J24" s="168"/>
      <c r="K24" s="169">
        <f t="shared" si="1"/>
        <v>0</v>
      </c>
    </row>
    <row r="25">
      <c r="A25" s="164">
        <v>21.0</v>
      </c>
      <c r="B25" s="170"/>
      <c r="C25" s="166" t="s">
        <v>25</v>
      </c>
      <c r="D25" s="171">
        <v>0.0</v>
      </c>
      <c r="E25" s="171">
        <v>0.0</v>
      </c>
      <c r="F25" s="172"/>
      <c r="G25" s="168"/>
      <c r="H25" s="168"/>
      <c r="I25" s="168"/>
      <c r="J25" s="168"/>
      <c r="K25" s="169">
        <f t="shared" si="1"/>
        <v>0</v>
      </c>
    </row>
    <row r="26">
      <c r="A26" s="164">
        <v>22.0</v>
      </c>
      <c r="B26" s="170"/>
      <c r="C26" s="166" t="s">
        <v>25</v>
      </c>
      <c r="D26" s="171">
        <v>0.0</v>
      </c>
      <c r="E26" s="171">
        <v>0.0</v>
      </c>
      <c r="F26" s="172"/>
      <c r="G26" s="168"/>
      <c r="H26" s="168"/>
      <c r="I26" s="168"/>
      <c r="J26" s="168"/>
      <c r="K26" s="169">
        <f t="shared" si="1"/>
        <v>0</v>
      </c>
    </row>
    <row r="27">
      <c r="A27" s="164">
        <v>23.0</v>
      </c>
      <c r="B27" s="170"/>
      <c r="C27" s="166" t="s">
        <v>25</v>
      </c>
      <c r="D27" s="171">
        <v>0.0</v>
      </c>
      <c r="E27" s="171">
        <v>0.0</v>
      </c>
      <c r="F27" s="172"/>
      <c r="G27" s="168"/>
      <c r="H27" s="168"/>
      <c r="I27" s="168"/>
      <c r="J27" s="168"/>
      <c r="K27" s="169">
        <f t="shared" si="1"/>
        <v>0</v>
      </c>
    </row>
    <row r="28">
      <c r="A28" s="173">
        <v>24.0</v>
      </c>
      <c r="B28" s="168"/>
      <c r="C28" s="166" t="s">
        <v>25</v>
      </c>
      <c r="D28" s="171">
        <v>0.0</v>
      </c>
      <c r="E28" s="171">
        <v>0.0</v>
      </c>
      <c r="F28" s="168"/>
      <c r="G28" s="168"/>
      <c r="H28" s="168"/>
      <c r="I28" s="168"/>
      <c r="J28" s="168"/>
      <c r="K28" s="169">
        <f t="shared" si="1"/>
        <v>0</v>
      </c>
    </row>
    <row r="29">
      <c r="A29" s="173">
        <v>25.0</v>
      </c>
      <c r="B29" s="168"/>
      <c r="C29" s="166" t="s">
        <v>25</v>
      </c>
      <c r="D29" s="171">
        <v>0.0</v>
      </c>
      <c r="E29" s="171">
        <v>0.0</v>
      </c>
      <c r="F29" s="168"/>
      <c r="G29" s="168"/>
      <c r="H29" s="168"/>
      <c r="I29" s="168"/>
      <c r="J29" s="168"/>
      <c r="K29" s="169">
        <f t="shared" si="1"/>
        <v>0</v>
      </c>
    </row>
    <row r="30">
      <c r="A30" s="173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8"/>
      <c r="K30" s="169">
        <f t="shared" si="1"/>
        <v>0</v>
      </c>
    </row>
    <row r="31">
      <c r="A31" s="173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8"/>
      <c r="K31" s="169">
        <f t="shared" si="1"/>
        <v>0</v>
      </c>
    </row>
    <row r="32">
      <c r="A32" s="173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8"/>
      <c r="K32" s="169">
        <f t="shared" si="1"/>
        <v>0</v>
      </c>
    </row>
    <row r="33">
      <c r="A33" s="173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8"/>
      <c r="K33" s="169">
        <f t="shared" si="1"/>
        <v>0</v>
      </c>
    </row>
    <row r="34">
      <c r="A34" s="173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8"/>
      <c r="K34" s="169">
        <f t="shared" si="1"/>
        <v>0</v>
      </c>
    </row>
    <row r="35">
      <c r="A35" s="173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8"/>
      <c r="K35" s="169">
        <f t="shared" si="1"/>
        <v>0</v>
      </c>
    </row>
    <row r="36">
      <c r="A36" s="173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8"/>
      <c r="K36" s="169">
        <f t="shared" si="1"/>
        <v>0</v>
      </c>
    </row>
    <row r="37">
      <c r="A37" s="173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8"/>
      <c r="K37" s="169">
        <f t="shared" si="1"/>
        <v>0</v>
      </c>
    </row>
    <row r="38">
      <c r="A38" s="173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8"/>
      <c r="K38" s="169">
        <f t="shared" si="1"/>
        <v>0</v>
      </c>
    </row>
    <row r="39">
      <c r="A39" s="173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8"/>
      <c r="K39" s="169">
        <f t="shared" si="1"/>
        <v>0</v>
      </c>
    </row>
    <row r="40">
      <c r="A40" s="173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8"/>
      <c r="K40" s="169">
        <f t="shared" si="1"/>
        <v>0</v>
      </c>
    </row>
    <row r="41">
      <c r="A41" s="173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8"/>
      <c r="K41" s="169">
        <f t="shared" si="1"/>
        <v>0</v>
      </c>
    </row>
    <row r="42">
      <c r="A42" s="173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8"/>
      <c r="K42" s="169">
        <f t="shared" si="1"/>
        <v>0</v>
      </c>
    </row>
    <row r="43">
      <c r="A43" s="173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8"/>
      <c r="K43" s="169">
        <f t="shared" si="1"/>
        <v>0</v>
      </c>
    </row>
    <row r="44">
      <c r="A44" s="173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8"/>
      <c r="K44" s="169">
        <f t="shared" si="1"/>
        <v>0</v>
      </c>
    </row>
    <row r="45">
      <c r="A45" s="173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8"/>
      <c r="K45" s="169">
        <f t="shared" si="1"/>
        <v>0</v>
      </c>
    </row>
    <row r="46">
      <c r="A46" s="173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8"/>
      <c r="K46" s="169">
        <f t="shared" si="1"/>
        <v>0</v>
      </c>
    </row>
    <row r="47">
      <c r="A47" s="173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8"/>
      <c r="K47" s="169">
        <f t="shared" si="1"/>
        <v>0</v>
      </c>
    </row>
    <row r="48">
      <c r="A48" s="173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8"/>
      <c r="K48" s="169">
        <f t="shared" si="1"/>
        <v>0</v>
      </c>
    </row>
    <row r="49">
      <c r="A49" s="173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8"/>
      <c r="K49" s="169">
        <f t="shared" si="1"/>
        <v>0</v>
      </c>
    </row>
    <row r="50">
      <c r="A50" s="173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8"/>
      <c r="K50" s="169">
        <f t="shared" si="1"/>
        <v>0</v>
      </c>
    </row>
    <row r="51">
      <c r="A51" s="173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8"/>
      <c r="K51" s="169">
        <f t="shared" si="1"/>
        <v>0</v>
      </c>
    </row>
    <row r="52">
      <c r="A52" s="173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8"/>
      <c r="K52" s="169">
        <f t="shared" si="1"/>
        <v>0</v>
      </c>
    </row>
    <row r="53">
      <c r="A53" s="173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8"/>
      <c r="K53" s="169">
        <f t="shared" si="1"/>
        <v>0</v>
      </c>
    </row>
    <row r="54">
      <c r="A54" s="173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8"/>
      <c r="K54" s="169">
        <f t="shared" si="1"/>
        <v>0</v>
      </c>
    </row>
    <row r="55">
      <c r="A55" s="173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8"/>
      <c r="K55" s="169">
        <f t="shared" si="1"/>
        <v>0</v>
      </c>
    </row>
    <row r="56">
      <c r="A56" s="173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8"/>
      <c r="K56" s="169">
        <f t="shared" si="1"/>
        <v>0</v>
      </c>
    </row>
    <row r="57">
      <c r="A57" s="173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8"/>
      <c r="K57" s="169">
        <f t="shared" si="1"/>
        <v>0</v>
      </c>
    </row>
    <row r="58">
      <c r="A58" s="173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8"/>
      <c r="K58" s="169">
        <f t="shared" si="1"/>
        <v>0</v>
      </c>
    </row>
    <row r="59">
      <c r="A59" s="173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8"/>
      <c r="K59" s="169">
        <f t="shared" si="1"/>
        <v>0</v>
      </c>
    </row>
    <row r="60">
      <c r="A60" s="173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8"/>
      <c r="K60" s="169">
        <f t="shared" si="1"/>
        <v>0</v>
      </c>
    </row>
    <row r="61">
      <c r="A61" s="173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8"/>
      <c r="K61" s="169">
        <f t="shared" si="1"/>
        <v>0</v>
      </c>
    </row>
    <row r="62">
      <c r="A62" s="173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8"/>
      <c r="K62" s="169">
        <f t="shared" si="1"/>
        <v>0</v>
      </c>
    </row>
    <row r="63">
      <c r="A63" s="173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8"/>
      <c r="K63" s="169">
        <f t="shared" si="1"/>
        <v>0</v>
      </c>
    </row>
    <row r="64">
      <c r="A64" s="173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8"/>
      <c r="K64" s="169">
        <f t="shared" si="1"/>
        <v>0</v>
      </c>
    </row>
    <row r="65">
      <c r="A65" s="173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8"/>
      <c r="K65" s="169">
        <f t="shared" si="1"/>
        <v>0</v>
      </c>
    </row>
    <row r="66">
      <c r="A66" s="173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8"/>
      <c r="K66" s="169">
        <f t="shared" si="1"/>
        <v>0</v>
      </c>
    </row>
    <row r="67">
      <c r="A67" s="173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8"/>
      <c r="K67" s="169">
        <f t="shared" si="1"/>
        <v>0</v>
      </c>
    </row>
    <row r="68">
      <c r="A68" s="173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8"/>
      <c r="K68" s="169">
        <f t="shared" si="1"/>
        <v>0</v>
      </c>
    </row>
    <row r="69">
      <c r="A69" s="173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8"/>
      <c r="K69" s="169">
        <f t="shared" si="1"/>
        <v>0</v>
      </c>
    </row>
    <row r="70">
      <c r="A70" s="173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8"/>
      <c r="K70" s="169">
        <f t="shared" si="1"/>
        <v>0</v>
      </c>
    </row>
    <row r="71">
      <c r="A71" s="173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8"/>
      <c r="K71" s="169">
        <f t="shared" si="1"/>
        <v>0</v>
      </c>
    </row>
    <row r="72">
      <c r="A72" s="173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8"/>
      <c r="K72" s="169">
        <f t="shared" si="1"/>
        <v>0</v>
      </c>
    </row>
    <row r="73">
      <c r="A73" s="173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8"/>
      <c r="K73" s="169">
        <f t="shared" si="1"/>
        <v>0</v>
      </c>
    </row>
    <row r="74">
      <c r="A74" s="173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8"/>
      <c r="K74" s="169">
        <f t="shared" si="1"/>
        <v>0</v>
      </c>
    </row>
    <row r="75">
      <c r="A75" s="173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8"/>
      <c r="K75" s="169">
        <f t="shared" si="1"/>
        <v>0</v>
      </c>
    </row>
    <row r="76">
      <c r="A76" s="173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8"/>
      <c r="K76" s="169">
        <f t="shared" si="1"/>
        <v>0</v>
      </c>
    </row>
    <row r="77">
      <c r="A77" s="173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8"/>
      <c r="K77" s="169">
        <f t="shared" si="1"/>
        <v>0</v>
      </c>
    </row>
    <row r="78">
      <c r="A78" s="173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8"/>
      <c r="K78" s="169">
        <f t="shared" si="1"/>
        <v>0</v>
      </c>
    </row>
    <row r="79">
      <c r="A79" s="173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8"/>
      <c r="K79" s="169">
        <f t="shared" si="1"/>
        <v>0</v>
      </c>
    </row>
    <row r="80">
      <c r="A80" s="173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8"/>
      <c r="K80" s="169">
        <f t="shared" si="1"/>
        <v>0</v>
      </c>
    </row>
    <row r="81">
      <c r="A81" s="173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8"/>
      <c r="K81" s="169">
        <f t="shared" si="1"/>
        <v>0</v>
      </c>
    </row>
  </sheetData>
  <mergeCells count="12">
    <mergeCell ref="G3:G4"/>
    <mergeCell ref="H3:H4"/>
    <mergeCell ref="I3:I4"/>
    <mergeCell ref="J3:J4"/>
    <mergeCell ref="A1:K2"/>
    <mergeCell ref="A3:A4"/>
    <mergeCell ref="B3:B4"/>
    <mergeCell ref="C3:C4"/>
    <mergeCell ref="D3:D4"/>
    <mergeCell ref="E3:E4"/>
    <mergeCell ref="F3:F4"/>
    <mergeCell ref="K3:K4"/>
  </mergeCells>
  <conditionalFormatting sqref="F5:F446">
    <cfRule type="containsText" dxfId="7" priority="1" operator="containsText" text="oui">
      <formula>NOT(ISERROR(SEARCH(("oui"),(F5))))</formula>
    </cfRule>
  </conditionalFormatting>
  <conditionalFormatting sqref="F5:F446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8.63"/>
    <col customWidth="1" min="4" max="4" width="18.88"/>
    <col customWidth="1" min="5" max="5" width="17.63"/>
    <col customWidth="1" min="11" max="11" width="14.25"/>
    <col customWidth="1" min="12" max="12" width="31.0"/>
    <col customWidth="1" min="13" max="13" width="21.5"/>
  </cols>
  <sheetData>
    <row r="1">
      <c r="A1" s="158" t="s">
        <v>158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8"/>
      <c r="C5" s="168"/>
      <c r="D5" s="171">
        <v>0.0</v>
      </c>
      <c r="E5" s="171">
        <v>0.0</v>
      </c>
      <c r="F5" s="172"/>
      <c r="G5" s="172"/>
      <c r="H5" s="172"/>
      <c r="I5" s="168"/>
      <c r="J5" s="169">
        <f t="shared" ref="J5:J81" si="1">E5-D5</f>
        <v>0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72"/>
      <c r="H6" s="172"/>
      <c r="I6" s="168"/>
      <c r="J6" s="169">
        <f t="shared" si="1"/>
        <v>0</v>
      </c>
    </row>
    <row r="7">
      <c r="A7" s="164">
        <v>3.0</v>
      </c>
      <c r="B7" s="168"/>
      <c r="C7" s="168"/>
      <c r="D7" s="171">
        <v>0.0</v>
      </c>
      <c r="E7" s="171">
        <v>0.0</v>
      </c>
      <c r="F7" s="168"/>
      <c r="G7" s="172"/>
      <c r="H7" s="172"/>
      <c r="I7" s="168"/>
      <c r="J7" s="169">
        <f t="shared" si="1"/>
        <v>0</v>
      </c>
    </row>
    <row r="8">
      <c r="A8" s="164">
        <v>4.0</v>
      </c>
      <c r="B8" s="168"/>
      <c r="C8" s="168"/>
      <c r="D8" s="171">
        <v>0.0</v>
      </c>
      <c r="E8" s="171">
        <v>0.0</v>
      </c>
      <c r="F8" s="168"/>
      <c r="G8" s="172"/>
      <c r="H8" s="172"/>
      <c r="I8" s="168"/>
      <c r="J8" s="169">
        <f t="shared" si="1"/>
        <v>0</v>
      </c>
    </row>
    <row r="9">
      <c r="A9" s="164">
        <v>5.0</v>
      </c>
      <c r="B9" s="168"/>
      <c r="C9" s="168"/>
      <c r="D9" s="171">
        <v>0.0</v>
      </c>
      <c r="E9" s="171">
        <v>0.0</v>
      </c>
      <c r="F9" s="168"/>
      <c r="G9" s="172"/>
      <c r="H9" s="172"/>
      <c r="I9" s="168"/>
      <c r="J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68"/>
      <c r="G10" s="172"/>
      <c r="H10" s="172"/>
      <c r="I10" s="168"/>
      <c r="J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68"/>
      <c r="G11" s="172"/>
      <c r="H11" s="172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68"/>
      <c r="G12" s="172"/>
      <c r="H12" s="172"/>
      <c r="I12" s="168"/>
      <c r="J12" s="169">
        <f t="shared" si="1"/>
        <v>0</v>
      </c>
    </row>
    <row r="13">
      <c r="A13" s="164">
        <v>9.0</v>
      </c>
      <c r="B13" s="168"/>
      <c r="C13" s="168"/>
      <c r="D13" s="171">
        <v>0.0</v>
      </c>
      <c r="E13" s="171">
        <v>0.0</v>
      </c>
      <c r="F13" s="168"/>
      <c r="G13" s="172"/>
      <c r="H13" s="172"/>
      <c r="I13" s="168"/>
      <c r="J13" s="169">
        <f t="shared" si="1"/>
        <v>0</v>
      </c>
    </row>
    <row r="14">
      <c r="A14" s="164">
        <v>10.0</v>
      </c>
      <c r="B14" s="168"/>
      <c r="C14" s="168"/>
      <c r="D14" s="171">
        <v>0.0</v>
      </c>
      <c r="E14" s="171">
        <v>0.0</v>
      </c>
      <c r="F14" s="168"/>
      <c r="G14" s="172"/>
      <c r="H14" s="172"/>
      <c r="I14" s="168"/>
      <c r="J14" s="169">
        <f t="shared" si="1"/>
        <v>0</v>
      </c>
    </row>
    <row r="15">
      <c r="A15" s="164">
        <v>11.0</v>
      </c>
      <c r="B15" s="168"/>
      <c r="C15" s="168"/>
      <c r="D15" s="171">
        <v>0.0</v>
      </c>
      <c r="E15" s="171">
        <v>0.0</v>
      </c>
      <c r="F15" s="168"/>
      <c r="G15" s="172"/>
      <c r="H15" s="172"/>
      <c r="I15" s="168"/>
      <c r="J15" s="169">
        <f t="shared" si="1"/>
        <v>0</v>
      </c>
      <c r="L15" s="73" t="s">
        <v>129</v>
      </c>
      <c r="M15" s="73" t="s">
        <v>130</v>
      </c>
      <c r="N15" s="73" t="s">
        <v>131</v>
      </c>
      <c r="O15" s="73" t="s">
        <v>132</v>
      </c>
      <c r="P15" s="73" t="s">
        <v>133</v>
      </c>
    </row>
    <row r="16">
      <c r="A16" s="164">
        <v>12.0</v>
      </c>
      <c r="B16" s="168"/>
      <c r="C16" s="168"/>
      <c r="D16" s="171">
        <v>0.0</v>
      </c>
      <c r="E16" s="171">
        <v>0.0</v>
      </c>
      <c r="F16" s="168"/>
      <c r="G16" s="172"/>
      <c r="H16" s="172"/>
      <c r="I16" s="168"/>
      <c r="J16" s="169">
        <f t="shared" si="1"/>
        <v>0</v>
      </c>
      <c r="L16" s="137">
        <f>COUNTA(F5:F92)</f>
        <v>0</v>
      </c>
      <c r="M16" s="138">
        <f>COUNTIF(F5:F93,"non")</f>
        <v>0</v>
      </c>
      <c r="N16" s="138">
        <f>COUNTIF(F5:F92,"oui")</f>
        <v>0</v>
      </c>
      <c r="O16" s="137" t="str">
        <f>(L16-M16)/L16</f>
        <v>#DIV/0!</v>
      </c>
      <c r="P16" s="139" t="str">
        <f>AVERAGEIF(J$5:J$200,"&lt;&gt;0")</f>
        <v>#DIV/0!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68"/>
      <c r="G17" s="172"/>
      <c r="H17" s="172"/>
      <c r="I17" s="168"/>
      <c r="J17" s="169">
        <f t="shared" si="1"/>
        <v>0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68"/>
      <c r="G18" s="172"/>
      <c r="H18" s="172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68"/>
      <c r="G19" s="172"/>
      <c r="H19" s="172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68"/>
      <c r="G20" s="172"/>
      <c r="H20" s="172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68"/>
      <c r="G21" s="172"/>
      <c r="H21" s="172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68"/>
      <c r="G22" s="172"/>
      <c r="H22" s="172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68"/>
      <c r="G23" s="172"/>
      <c r="H23" s="172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68"/>
      <c r="G24" s="172"/>
      <c r="H24" s="172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68"/>
      <c r="G25" s="172"/>
      <c r="H25" s="172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68"/>
      <c r="G26" s="172"/>
      <c r="H26" s="172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68"/>
      <c r="G27" s="172"/>
      <c r="H27" s="172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72"/>
      <c r="H28" s="172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72"/>
      <c r="H29" s="172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72"/>
      <c r="H30" s="172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72"/>
      <c r="H31" s="172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123">
    <cfRule type="containsText" dxfId="7" priority="1" operator="containsText" text="oui">
      <formula>NOT(ISERROR(SEARCH(("oui"),(F5))))</formula>
    </cfRule>
  </conditionalFormatting>
  <conditionalFormatting sqref="F5:F123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  <col customWidth="1" min="5" max="5" width="18.25"/>
    <col customWidth="1" min="12" max="12" width="32.63"/>
    <col customWidth="1" min="13" max="13" width="23.5"/>
    <col customWidth="1" min="14" max="14" width="19.5"/>
  </cols>
  <sheetData>
    <row r="1">
      <c r="A1" s="158" t="s">
        <v>159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8"/>
      <c r="C5" s="131" t="s">
        <v>35</v>
      </c>
      <c r="D5" s="171">
        <v>0.0</v>
      </c>
      <c r="E5" s="171">
        <v>0.0</v>
      </c>
      <c r="F5" s="172"/>
      <c r="G5" s="168"/>
      <c r="H5" s="168"/>
      <c r="I5" s="168"/>
      <c r="J5" s="169">
        <f t="shared" ref="J5:J81" si="1">E5-D5</f>
        <v>0</v>
      </c>
    </row>
    <row r="6">
      <c r="A6" s="164">
        <v>2.0</v>
      </c>
      <c r="B6" s="168"/>
      <c r="C6" s="131" t="s">
        <v>35</v>
      </c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</row>
    <row r="7">
      <c r="A7" s="164">
        <v>3.0</v>
      </c>
      <c r="B7" s="168"/>
      <c r="C7" s="131" t="s">
        <v>35</v>
      </c>
      <c r="D7" s="171">
        <v>0.0</v>
      </c>
      <c r="E7" s="171">
        <v>0.0</v>
      </c>
      <c r="F7" s="168"/>
      <c r="G7" s="168"/>
      <c r="H7" s="168"/>
      <c r="I7" s="168"/>
      <c r="J7" s="169">
        <f t="shared" si="1"/>
        <v>0</v>
      </c>
    </row>
    <row r="8">
      <c r="A8" s="164">
        <v>4.0</v>
      </c>
      <c r="B8" s="168"/>
      <c r="C8" s="131" t="s">
        <v>35</v>
      </c>
      <c r="D8" s="171">
        <v>0.0</v>
      </c>
      <c r="E8" s="171">
        <v>0.0</v>
      </c>
      <c r="F8" s="168"/>
      <c r="G8" s="168"/>
      <c r="H8" s="168"/>
      <c r="I8" s="168"/>
      <c r="J8" s="169">
        <f t="shared" si="1"/>
        <v>0</v>
      </c>
    </row>
    <row r="9">
      <c r="A9" s="164">
        <v>5.0</v>
      </c>
      <c r="B9" s="168"/>
      <c r="C9" s="131" t="s">
        <v>35</v>
      </c>
      <c r="D9" s="171">
        <v>0.0</v>
      </c>
      <c r="E9" s="171">
        <v>0.0</v>
      </c>
      <c r="F9" s="168"/>
      <c r="G9" s="168"/>
      <c r="H9" s="168"/>
      <c r="I9" s="168"/>
      <c r="J9" s="169">
        <f t="shared" si="1"/>
        <v>0</v>
      </c>
    </row>
    <row r="10">
      <c r="A10" s="164">
        <v>6.0</v>
      </c>
      <c r="B10" s="168"/>
      <c r="C10" s="131" t="s">
        <v>35</v>
      </c>
      <c r="D10" s="171">
        <v>0.0</v>
      </c>
      <c r="E10" s="171">
        <v>0.0</v>
      </c>
      <c r="F10" s="168"/>
      <c r="G10" s="168"/>
      <c r="H10" s="168"/>
      <c r="I10" s="168"/>
      <c r="J10" s="169">
        <f t="shared" si="1"/>
        <v>0</v>
      </c>
    </row>
    <row r="11">
      <c r="A11" s="164">
        <v>7.0</v>
      </c>
      <c r="B11" s="168"/>
      <c r="C11" s="131" t="s">
        <v>35</v>
      </c>
      <c r="D11" s="171">
        <v>0.0</v>
      </c>
      <c r="E11" s="171">
        <v>0.0</v>
      </c>
      <c r="F11" s="168"/>
      <c r="G11" s="168"/>
      <c r="H11" s="168"/>
      <c r="I11" s="168"/>
      <c r="J11" s="169">
        <f t="shared" si="1"/>
        <v>0</v>
      </c>
    </row>
    <row r="12">
      <c r="A12" s="164">
        <v>8.0</v>
      </c>
      <c r="B12" s="168"/>
      <c r="C12" s="131" t="s">
        <v>35</v>
      </c>
      <c r="D12" s="171">
        <v>0.0</v>
      </c>
      <c r="E12" s="171">
        <v>0.0</v>
      </c>
      <c r="F12" s="168"/>
      <c r="G12" s="168"/>
      <c r="H12" s="168"/>
      <c r="I12" s="168"/>
      <c r="J12" s="169">
        <f t="shared" si="1"/>
        <v>0</v>
      </c>
    </row>
    <row r="13">
      <c r="A13" s="164">
        <v>9.0</v>
      </c>
      <c r="B13" s="168"/>
      <c r="C13" s="131" t="s">
        <v>35</v>
      </c>
      <c r="D13" s="171">
        <v>0.0</v>
      </c>
      <c r="E13" s="171">
        <v>0.0</v>
      </c>
      <c r="F13" s="168"/>
      <c r="G13" s="168"/>
      <c r="H13" s="168"/>
      <c r="I13" s="168"/>
      <c r="J13" s="169">
        <f t="shared" si="1"/>
        <v>0</v>
      </c>
    </row>
    <row r="14">
      <c r="A14" s="164">
        <v>10.0</v>
      </c>
      <c r="B14" s="168"/>
      <c r="C14" s="131" t="s">
        <v>35</v>
      </c>
      <c r="D14" s="171">
        <v>0.0</v>
      </c>
      <c r="E14" s="171">
        <v>0.0</v>
      </c>
      <c r="F14" s="168"/>
      <c r="G14" s="168"/>
      <c r="H14" s="168"/>
      <c r="I14" s="168"/>
      <c r="J14" s="169">
        <f t="shared" si="1"/>
        <v>0</v>
      </c>
    </row>
    <row r="15">
      <c r="A15" s="164">
        <v>11.0</v>
      </c>
      <c r="B15" s="168"/>
      <c r="C15" s="131" t="s">
        <v>35</v>
      </c>
      <c r="D15" s="171">
        <v>0.0</v>
      </c>
      <c r="E15" s="171">
        <v>0.0</v>
      </c>
      <c r="F15" s="168"/>
      <c r="G15" s="168"/>
      <c r="H15" s="168"/>
      <c r="I15" s="168"/>
      <c r="J15" s="169">
        <f t="shared" si="1"/>
        <v>0</v>
      </c>
    </row>
    <row r="16">
      <c r="A16" s="164">
        <v>12.0</v>
      </c>
      <c r="B16" s="168"/>
      <c r="C16" s="131" t="s">
        <v>35</v>
      </c>
      <c r="D16" s="171">
        <v>0.0</v>
      </c>
      <c r="E16" s="171">
        <v>0.0</v>
      </c>
      <c r="F16" s="168"/>
      <c r="G16" s="168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68"/>
      <c r="C17" s="131" t="s">
        <v>35</v>
      </c>
      <c r="D17" s="171">
        <v>0.0</v>
      </c>
      <c r="E17" s="171">
        <v>0.0</v>
      </c>
      <c r="F17" s="168"/>
      <c r="G17" s="168"/>
      <c r="H17" s="168"/>
      <c r="I17" s="168"/>
      <c r="J17" s="169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137" t="str">
        <f>(L17-M17)/L17</f>
        <v>#DIV/0!</v>
      </c>
      <c r="P17" s="138" t="str">
        <f>AVERAGEIF(J$5:J$200,"&lt;&gt;0")</f>
        <v>#DIV/0!</v>
      </c>
    </row>
    <row r="18">
      <c r="A18" s="164">
        <v>14.0</v>
      </c>
      <c r="B18" s="168"/>
      <c r="C18" s="131" t="s">
        <v>35</v>
      </c>
      <c r="D18" s="171">
        <v>0.0</v>
      </c>
      <c r="E18" s="171">
        <v>0.0</v>
      </c>
      <c r="F18" s="168"/>
      <c r="G18" s="168"/>
      <c r="H18" s="168"/>
      <c r="I18" s="168"/>
      <c r="J18" s="169">
        <f t="shared" si="1"/>
        <v>0</v>
      </c>
    </row>
    <row r="19">
      <c r="A19" s="164">
        <v>15.0</v>
      </c>
      <c r="B19" s="168"/>
      <c r="C19" s="131" t="s">
        <v>35</v>
      </c>
      <c r="D19" s="171">
        <v>0.0</v>
      </c>
      <c r="E19" s="171">
        <v>0.0</v>
      </c>
      <c r="F19" s="168"/>
      <c r="G19" s="168"/>
      <c r="H19" s="168"/>
      <c r="I19" s="168"/>
      <c r="J19" s="169">
        <f t="shared" si="1"/>
        <v>0</v>
      </c>
    </row>
    <row r="20">
      <c r="A20" s="164">
        <v>16.0</v>
      </c>
      <c r="B20" s="168"/>
      <c r="C20" s="131" t="s">
        <v>35</v>
      </c>
      <c r="D20" s="171">
        <v>0.0</v>
      </c>
      <c r="E20" s="171">
        <v>0.0</v>
      </c>
      <c r="F20" s="168"/>
      <c r="G20" s="168"/>
      <c r="H20" s="168"/>
      <c r="I20" s="168"/>
      <c r="J20" s="169">
        <f t="shared" si="1"/>
        <v>0</v>
      </c>
    </row>
    <row r="21">
      <c r="A21" s="164">
        <v>17.0</v>
      </c>
      <c r="B21" s="168"/>
      <c r="C21" s="131" t="s">
        <v>35</v>
      </c>
      <c r="D21" s="171">
        <v>0.0</v>
      </c>
      <c r="E21" s="171">
        <v>0.0</v>
      </c>
      <c r="F21" s="168"/>
      <c r="G21" s="168"/>
      <c r="H21" s="168"/>
      <c r="I21" s="168"/>
      <c r="J21" s="169">
        <f t="shared" si="1"/>
        <v>0</v>
      </c>
    </row>
    <row r="22">
      <c r="A22" s="164">
        <v>18.0</v>
      </c>
      <c r="B22" s="168"/>
      <c r="C22" s="131" t="s">
        <v>35</v>
      </c>
      <c r="D22" s="171">
        <v>0.0</v>
      </c>
      <c r="E22" s="171">
        <v>0.0</v>
      </c>
      <c r="F22" s="168"/>
      <c r="G22" s="168"/>
      <c r="H22" s="168"/>
      <c r="I22" s="168"/>
      <c r="J22" s="169">
        <f t="shared" si="1"/>
        <v>0</v>
      </c>
    </row>
    <row r="23">
      <c r="A23" s="164">
        <v>19.0</v>
      </c>
      <c r="B23" s="168"/>
      <c r="C23" s="131" t="s">
        <v>35</v>
      </c>
      <c r="D23" s="171">
        <v>0.0</v>
      </c>
      <c r="E23" s="171">
        <v>0.0</v>
      </c>
      <c r="F23" s="168"/>
      <c r="G23" s="168"/>
      <c r="H23" s="168"/>
      <c r="I23" s="168"/>
      <c r="J23" s="169">
        <f t="shared" si="1"/>
        <v>0</v>
      </c>
    </row>
    <row r="24">
      <c r="A24" s="164">
        <v>20.0</v>
      </c>
      <c r="B24" s="168"/>
      <c r="C24" s="131" t="s">
        <v>35</v>
      </c>
      <c r="D24" s="171">
        <v>0.0</v>
      </c>
      <c r="E24" s="171">
        <v>0.0</v>
      </c>
      <c r="F24" s="168"/>
      <c r="G24" s="168"/>
      <c r="H24" s="168"/>
      <c r="I24" s="168"/>
      <c r="J24" s="169">
        <f t="shared" si="1"/>
        <v>0</v>
      </c>
    </row>
    <row r="25">
      <c r="A25" s="164">
        <v>21.0</v>
      </c>
      <c r="B25" s="168"/>
      <c r="C25" s="131" t="s">
        <v>35</v>
      </c>
      <c r="D25" s="171">
        <v>0.0</v>
      </c>
      <c r="E25" s="171">
        <v>0.0</v>
      </c>
      <c r="F25" s="168"/>
      <c r="G25" s="168"/>
      <c r="H25" s="168"/>
      <c r="I25" s="168"/>
      <c r="J25" s="169">
        <f t="shared" si="1"/>
        <v>0</v>
      </c>
    </row>
    <row r="26">
      <c r="A26" s="164">
        <v>22.0</v>
      </c>
      <c r="B26" s="168"/>
      <c r="C26" s="131" t="s">
        <v>35</v>
      </c>
      <c r="D26" s="171">
        <v>0.0</v>
      </c>
      <c r="E26" s="171">
        <v>0.0</v>
      </c>
      <c r="F26" s="168"/>
      <c r="G26" s="168"/>
      <c r="H26" s="168"/>
      <c r="I26" s="168"/>
      <c r="J26" s="169">
        <f t="shared" si="1"/>
        <v>0</v>
      </c>
    </row>
    <row r="27">
      <c r="A27" s="164">
        <v>23.0</v>
      </c>
      <c r="B27" s="168"/>
      <c r="C27" s="131" t="s">
        <v>35</v>
      </c>
      <c r="D27" s="171">
        <v>0.0</v>
      </c>
      <c r="E27" s="171">
        <v>0.0</v>
      </c>
      <c r="F27" s="168"/>
      <c r="G27" s="168"/>
      <c r="H27" s="168"/>
      <c r="I27" s="168"/>
      <c r="J27" s="169">
        <f t="shared" si="1"/>
        <v>0</v>
      </c>
    </row>
    <row r="28">
      <c r="A28" s="164">
        <v>24.0</v>
      </c>
      <c r="B28" s="168"/>
      <c r="C28" s="131" t="s">
        <v>35</v>
      </c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31" t="s">
        <v>35</v>
      </c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31" t="s">
        <v>35</v>
      </c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31" t="s">
        <v>35</v>
      </c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31" t="s">
        <v>35</v>
      </c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31" t="s">
        <v>35</v>
      </c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31" t="s">
        <v>35</v>
      </c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31" t="s">
        <v>35</v>
      </c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31" t="s">
        <v>35</v>
      </c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31" t="s">
        <v>35</v>
      </c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31" t="s">
        <v>35</v>
      </c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31" t="s">
        <v>35</v>
      </c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31" t="s">
        <v>35</v>
      </c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31" t="s">
        <v>35</v>
      </c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31" t="s">
        <v>35</v>
      </c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31" t="s">
        <v>35</v>
      </c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31" t="s">
        <v>35</v>
      </c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31" t="s">
        <v>35</v>
      </c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31" t="s">
        <v>35</v>
      </c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31" t="s">
        <v>35</v>
      </c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31" t="s">
        <v>35</v>
      </c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31" t="s">
        <v>35</v>
      </c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31" t="s">
        <v>35</v>
      </c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31" t="s">
        <v>35</v>
      </c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31" t="s">
        <v>35</v>
      </c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31" t="s">
        <v>35</v>
      </c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31" t="s">
        <v>35</v>
      </c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31" t="s">
        <v>35</v>
      </c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31" t="s">
        <v>35</v>
      </c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31" t="s">
        <v>35</v>
      </c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31" t="s">
        <v>35</v>
      </c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31" t="s">
        <v>35</v>
      </c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31" t="s">
        <v>35</v>
      </c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31" t="s">
        <v>35</v>
      </c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31" t="s">
        <v>35</v>
      </c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31" t="s">
        <v>35</v>
      </c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31" t="s">
        <v>35</v>
      </c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31" t="s">
        <v>35</v>
      </c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31" t="s">
        <v>35</v>
      </c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31" t="s">
        <v>35</v>
      </c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31" t="s">
        <v>35</v>
      </c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31" t="s">
        <v>35</v>
      </c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31" t="s">
        <v>35</v>
      </c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31" t="s">
        <v>35</v>
      </c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31" t="s">
        <v>35</v>
      </c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31" t="s">
        <v>35</v>
      </c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31" t="s">
        <v>35</v>
      </c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31" t="s">
        <v>35</v>
      </c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31" t="s">
        <v>35</v>
      </c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31" t="s">
        <v>35</v>
      </c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31" t="s">
        <v>35</v>
      </c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31" t="s">
        <v>35</v>
      </c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31" t="s">
        <v>35</v>
      </c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31" t="s">
        <v>35</v>
      </c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130">
    <cfRule type="containsText" dxfId="7" priority="1" operator="containsText" text="oui">
      <formula>NOT(ISERROR(SEARCH(("oui"),(F5))))</formula>
    </cfRule>
  </conditionalFormatting>
  <conditionalFormatting sqref="F5:F13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19.13"/>
    <col customWidth="1" min="12" max="12" width="31.25"/>
    <col customWidth="1" min="13" max="13" width="19.5"/>
    <col customWidth="1" min="14" max="14" width="18.63"/>
  </cols>
  <sheetData>
    <row r="1">
      <c r="A1" s="158" t="s">
        <v>160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70"/>
      <c r="C5" s="172"/>
      <c r="D5" s="171">
        <v>0.0</v>
      </c>
      <c r="E5" s="171">
        <v>0.0</v>
      </c>
      <c r="F5" s="172"/>
      <c r="G5" s="172"/>
      <c r="H5" s="172"/>
      <c r="I5" s="172"/>
      <c r="J5" s="169">
        <f t="shared" ref="J5:J81" si="1">E5-D5</f>
        <v>0</v>
      </c>
    </row>
    <row r="6">
      <c r="A6" s="164">
        <v>2.0</v>
      </c>
      <c r="B6" s="170"/>
      <c r="C6" s="172"/>
      <c r="D6" s="171">
        <v>0.0</v>
      </c>
      <c r="E6" s="171">
        <v>0.0</v>
      </c>
      <c r="F6" s="172"/>
      <c r="G6" s="172"/>
      <c r="H6" s="172"/>
      <c r="I6" s="172"/>
      <c r="J6" s="169">
        <f t="shared" si="1"/>
        <v>0</v>
      </c>
    </row>
    <row r="7">
      <c r="A7" s="164">
        <v>3.0</v>
      </c>
      <c r="B7" s="170"/>
      <c r="C7" s="172"/>
      <c r="D7" s="171">
        <v>0.0</v>
      </c>
      <c r="E7" s="171">
        <v>0.0</v>
      </c>
      <c r="F7" s="172"/>
      <c r="G7" s="172"/>
      <c r="H7" s="172"/>
      <c r="I7" s="172"/>
      <c r="J7" s="169">
        <f t="shared" si="1"/>
        <v>0</v>
      </c>
    </row>
    <row r="8">
      <c r="A8" s="164">
        <v>4.0</v>
      </c>
      <c r="B8" s="170"/>
      <c r="C8" s="172"/>
      <c r="D8" s="171">
        <v>0.0</v>
      </c>
      <c r="E8" s="171">
        <v>0.0</v>
      </c>
      <c r="F8" s="172"/>
      <c r="G8" s="172"/>
      <c r="H8" s="172"/>
      <c r="I8" s="172"/>
      <c r="J8" s="169">
        <f t="shared" si="1"/>
        <v>0</v>
      </c>
    </row>
    <row r="9">
      <c r="A9" s="164">
        <v>5.0</v>
      </c>
      <c r="B9" s="170"/>
      <c r="C9" s="172"/>
      <c r="D9" s="171">
        <v>0.0</v>
      </c>
      <c r="E9" s="171">
        <v>0.0</v>
      </c>
      <c r="F9" s="172"/>
      <c r="G9" s="172"/>
      <c r="H9" s="172"/>
      <c r="I9" s="172"/>
      <c r="J9" s="169">
        <f t="shared" si="1"/>
        <v>0</v>
      </c>
    </row>
    <row r="10">
      <c r="A10" s="164">
        <v>6.0</v>
      </c>
      <c r="B10" s="170"/>
      <c r="C10" s="172"/>
      <c r="D10" s="171">
        <v>0.0</v>
      </c>
      <c r="E10" s="171">
        <v>0.0</v>
      </c>
      <c r="F10" s="172"/>
      <c r="G10" s="172"/>
      <c r="H10" s="172"/>
      <c r="I10" s="172"/>
      <c r="J10" s="169">
        <f t="shared" si="1"/>
        <v>0</v>
      </c>
    </row>
    <row r="11">
      <c r="A11" s="164">
        <v>7.0</v>
      </c>
      <c r="B11" s="170"/>
      <c r="C11" s="172"/>
      <c r="D11" s="171">
        <v>0.0</v>
      </c>
      <c r="E11" s="171">
        <v>0.0</v>
      </c>
      <c r="F11" s="172"/>
      <c r="G11" s="172"/>
      <c r="H11" s="172"/>
      <c r="I11" s="172"/>
      <c r="J11" s="169">
        <f t="shared" si="1"/>
        <v>0</v>
      </c>
    </row>
    <row r="12">
      <c r="A12" s="164">
        <v>8.0</v>
      </c>
      <c r="B12" s="170"/>
      <c r="C12" s="172"/>
      <c r="D12" s="171">
        <v>0.0</v>
      </c>
      <c r="E12" s="171">
        <v>0.0</v>
      </c>
      <c r="F12" s="172"/>
      <c r="G12" s="172"/>
      <c r="H12" s="172"/>
      <c r="I12" s="172"/>
      <c r="J12" s="169">
        <f t="shared" si="1"/>
        <v>0</v>
      </c>
      <c r="O12" s="176"/>
    </row>
    <row r="13">
      <c r="A13" s="164">
        <v>9.0</v>
      </c>
      <c r="B13" s="170"/>
      <c r="C13" s="172"/>
      <c r="D13" s="171">
        <v>0.0</v>
      </c>
      <c r="E13" s="171">
        <v>0.0</v>
      </c>
      <c r="F13" s="172"/>
      <c r="G13" s="172"/>
      <c r="H13" s="172"/>
      <c r="I13" s="172"/>
      <c r="J13" s="169">
        <f t="shared" si="1"/>
        <v>0</v>
      </c>
      <c r="O13" s="176"/>
    </row>
    <row r="14">
      <c r="A14" s="164">
        <v>10.0</v>
      </c>
      <c r="B14" s="170"/>
      <c r="C14" s="172"/>
      <c r="D14" s="171">
        <v>0.0</v>
      </c>
      <c r="E14" s="171">
        <v>0.0</v>
      </c>
      <c r="F14" s="172"/>
      <c r="G14" s="172"/>
      <c r="H14" s="172"/>
      <c r="I14" s="172"/>
      <c r="J14" s="169">
        <f t="shared" si="1"/>
        <v>0</v>
      </c>
      <c r="L14" s="176"/>
      <c r="M14" s="176"/>
      <c r="N14" s="176"/>
      <c r="O14" s="176"/>
    </row>
    <row r="15">
      <c r="A15" s="164">
        <v>11.0</v>
      </c>
      <c r="B15" s="170"/>
      <c r="C15" s="172"/>
      <c r="D15" s="171">
        <v>0.0</v>
      </c>
      <c r="E15" s="171">
        <v>0.0</v>
      </c>
      <c r="F15" s="172"/>
      <c r="G15" s="172"/>
      <c r="H15" s="172"/>
      <c r="I15" s="172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170"/>
      <c r="C16" s="172"/>
      <c r="D16" s="171">
        <v>0.0</v>
      </c>
      <c r="E16" s="171">
        <v>0.0</v>
      </c>
      <c r="F16" s="172"/>
      <c r="G16" s="172"/>
      <c r="H16" s="172"/>
      <c r="I16" s="172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70"/>
      <c r="C17" s="172"/>
      <c r="D17" s="171">
        <v>0.0</v>
      </c>
      <c r="E17" s="171">
        <v>0.0</v>
      </c>
      <c r="F17" s="172"/>
      <c r="G17" s="172"/>
      <c r="H17" s="172"/>
      <c r="I17" s="172"/>
      <c r="J17" s="169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70"/>
      <c r="C18" s="172"/>
      <c r="D18" s="171">
        <v>0.0</v>
      </c>
      <c r="E18" s="171">
        <v>0.0</v>
      </c>
      <c r="F18" s="172"/>
      <c r="G18" s="172"/>
      <c r="H18" s="172"/>
      <c r="I18" s="172"/>
      <c r="J18" s="169">
        <f t="shared" si="1"/>
        <v>0</v>
      </c>
    </row>
    <row r="19">
      <c r="A19" s="164">
        <v>15.0</v>
      </c>
      <c r="B19" s="170"/>
      <c r="C19" s="172"/>
      <c r="D19" s="171">
        <v>0.0</v>
      </c>
      <c r="E19" s="171">
        <v>0.0</v>
      </c>
      <c r="F19" s="172"/>
      <c r="G19" s="172"/>
      <c r="H19" s="172"/>
      <c r="I19" s="172"/>
      <c r="J19" s="169">
        <f t="shared" si="1"/>
        <v>0</v>
      </c>
    </row>
    <row r="20">
      <c r="A20" s="164">
        <v>16.0</v>
      </c>
      <c r="B20" s="170"/>
      <c r="C20" s="172"/>
      <c r="D20" s="171">
        <v>0.0</v>
      </c>
      <c r="E20" s="171">
        <v>0.0</v>
      </c>
      <c r="F20" s="172"/>
      <c r="G20" s="172"/>
      <c r="H20" s="172"/>
      <c r="I20" s="172"/>
      <c r="J20" s="169">
        <f t="shared" si="1"/>
        <v>0</v>
      </c>
    </row>
    <row r="21">
      <c r="A21" s="164">
        <v>17.0</v>
      </c>
      <c r="B21" s="170"/>
      <c r="C21" s="172"/>
      <c r="D21" s="171">
        <v>0.0</v>
      </c>
      <c r="E21" s="171">
        <v>0.0</v>
      </c>
      <c r="F21" s="172"/>
      <c r="G21" s="172"/>
      <c r="H21" s="172"/>
      <c r="I21" s="172"/>
      <c r="J21" s="169">
        <f t="shared" si="1"/>
        <v>0</v>
      </c>
    </row>
    <row r="22">
      <c r="A22" s="164">
        <v>18.0</v>
      </c>
      <c r="B22" s="170"/>
      <c r="C22" s="172"/>
      <c r="D22" s="171">
        <v>0.0</v>
      </c>
      <c r="E22" s="171">
        <v>0.0</v>
      </c>
      <c r="F22" s="172"/>
      <c r="G22" s="172"/>
      <c r="H22" s="172"/>
      <c r="I22" s="172"/>
      <c r="J22" s="169">
        <f t="shared" si="1"/>
        <v>0</v>
      </c>
    </row>
    <row r="23">
      <c r="A23" s="164">
        <v>19.0</v>
      </c>
      <c r="B23" s="170"/>
      <c r="C23" s="172"/>
      <c r="D23" s="171">
        <v>0.0</v>
      </c>
      <c r="E23" s="171">
        <v>0.0</v>
      </c>
      <c r="F23" s="172"/>
      <c r="G23" s="172"/>
      <c r="H23" s="172"/>
      <c r="I23" s="172"/>
      <c r="J23" s="169">
        <f t="shared" si="1"/>
        <v>0</v>
      </c>
    </row>
    <row r="24">
      <c r="A24" s="164">
        <v>20.0</v>
      </c>
      <c r="B24" s="170"/>
      <c r="C24" s="172"/>
      <c r="D24" s="171">
        <v>0.0</v>
      </c>
      <c r="E24" s="171">
        <v>0.0</v>
      </c>
      <c r="F24" s="172"/>
      <c r="G24" s="172"/>
      <c r="H24" s="172"/>
      <c r="I24" s="172"/>
      <c r="J24" s="169">
        <f t="shared" si="1"/>
        <v>0</v>
      </c>
    </row>
    <row r="25">
      <c r="A25" s="164">
        <v>21.0</v>
      </c>
      <c r="B25" s="170"/>
      <c r="C25" s="172"/>
      <c r="D25" s="171">
        <v>0.0</v>
      </c>
      <c r="E25" s="171">
        <v>0.0</v>
      </c>
      <c r="F25" s="172"/>
      <c r="G25" s="172"/>
      <c r="H25" s="172"/>
      <c r="I25" s="172"/>
      <c r="J25" s="169">
        <f t="shared" si="1"/>
        <v>0</v>
      </c>
    </row>
    <row r="26">
      <c r="A26" s="164">
        <v>22.0</v>
      </c>
      <c r="B26" s="170"/>
      <c r="C26" s="172"/>
      <c r="D26" s="171">
        <v>0.0</v>
      </c>
      <c r="E26" s="171">
        <v>0.0</v>
      </c>
      <c r="F26" s="172"/>
      <c r="G26" s="172"/>
      <c r="H26" s="172"/>
      <c r="I26" s="172"/>
      <c r="J26" s="169">
        <f t="shared" si="1"/>
        <v>0</v>
      </c>
    </row>
    <row r="27">
      <c r="A27" s="164">
        <v>23.0</v>
      </c>
      <c r="B27" s="170"/>
      <c r="C27" s="172"/>
      <c r="D27" s="171">
        <v>0.0</v>
      </c>
      <c r="E27" s="171">
        <v>0.0</v>
      </c>
      <c r="F27" s="172"/>
      <c r="G27" s="172"/>
      <c r="H27" s="172"/>
      <c r="I27" s="172"/>
      <c r="J27" s="169">
        <f t="shared" si="1"/>
        <v>0</v>
      </c>
    </row>
    <row r="28">
      <c r="A28" s="164">
        <v>24.0</v>
      </c>
      <c r="B28" s="172"/>
      <c r="C28" s="172"/>
      <c r="D28" s="171">
        <v>0.0</v>
      </c>
      <c r="E28" s="171">
        <v>0.0</v>
      </c>
      <c r="F28" s="172"/>
      <c r="G28" s="172"/>
      <c r="H28" s="172"/>
      <c r="I28" s="172"/>
      <c r="J28" s="169">
        <f t="shared" si="1"/>
        <v>0</v>
      </c>
    </row>
    <row r="29">
      <c r="A29" s="164">
        <v>25.0</v>
      </c>
      <c r="B29" s="172"/>
      <c r="C29" s="172"/>
      <c r="D29" s="171">
        <v>0.0</v>
      </c>
      <c r="E29" s="171">
        <v>0.0</v>
      </c>
      <c r="F29" s="172"/>
      <c r="G29" s="172"/>
      <c r="H29" s="172"/>
      <c r="I29" s="172"/>
      <c r="J29" s="169">
        <f t="shared" si="1"/>
        <v>0</v>
      </c>
    </row>
    <row r="30">
      <c r="A30" s="164">
        <v>26.0</v>
      </c>
      <c r="B30" s="172"/>
      <c r="C30" s="172"/>
      <c r="D30" s="171">
        <v>0.0</v>
      </c>
      <c r="E30" s="171">
        <v>0.0</v>
      </c>
      <c r="F30" s="172"/>
      <c r="G30" s="172"/>
      <c r="H30" s="172"/>
      <c r="I30" s="172"/>
      <c r="J30" s="169">
        <f t="shared" si="1"/>
        <v>0</v>
      </c>
    </row>
    <row r="31">
      <c r="A31" s="164">
        <v>27.0</v>
      </c>
      <c r="B31" s="172"/>
      <c r="C31" s="172"/>
      <c r="D31" s="171">
        <v>0.0</v>
      </c>
      <c r="E31" s="171">
        <v>0.0</v>
      </c>
      <c r="F31" s="172"/>
      <c r="G31" s="172"/>
      <c r="H31" s="172"/>
      <c r="I31" s="172"/>
      <c r="J31" s="169">
        <f t="shared" si="1"/>
        <v>0</v>
      </c>
    </row>
    <row r="32">
      <c r="A32" s="164">
        <v>28.0</v>
      </c>
      <c r="B32" s="172"/>
      <c r="C32" s="172"/>
      <c r="D32" s="171">
        <v>0.0</v>
      </c>
      <c r="E32" s="171">
        <v>0.0</v>
      </c>
      <c r="F32" s="172"/>
      <c r="G32" s="172"/>
      <c r="H32" s="172"/>
      <c r="I32" s="172"/>
      <c r="J32" s="169">
        <f t="shared" si="1"/>
        <v>0</v>
      </c>
    </row>
    <row r="33">
      <c r="A33" s="164">
        <v>29.0</v>
      </c>
      <c r="B33" s="172"/>
      <c r="C33" s="172"/>
      <c r="D33" s="171">
        <v>0.0</v>
      </c>
      <c r="E33" s="171">
        <v>0.0</v>
      </c>
      <c r="F33" s="172"/>
      <c r="G33" s="172"/>
      <c r="H33" s="172"/>
      <c r="I33" s="172"/>
      <c r="J33" s="169">
        <f t="shared" si="1"/>
        <v>0</v>
      </c>
    </row>
    <row r="34">
      <c r="A34" s="164">
        <v>30.0</v>
      </c>
      <c r="B34" s="172"/>
      <c r="C34" s="172"/>
      <c r="D34" s="171">
        <v>0.0</v>
      </c>
      <c r="E34" s="171">
        <v>0.0</v>
      </c>
      <c r="F34" s="172"/>
      <c r="G34" s="172"/>
      <c r="H34" s="172"/>
      <c r="I34" s="172"/>
      <c r="J34" s="169">
        <f t="shared" si="1"/>
        <v>0</v>
      </c>
    </row>
    <row r="35">
      <c r="A35" s="164">
        <v>31.0</v>
      </c>
      <c r="B35" s="172"/>
      <c r="C35" s="172"/>
      <c r="D35" s="171">
        <v>0.0</v>
      </c>
      <c r="E35" s="171">
        <v>0.0</v>
      </c>
      <c r="F35" s="172"/>
      <c r="G35" s="172"/>
      <c r="H35" s="172"/>
      <c r="I35" s="172"/>
      <c r="J35" s="169">
        <f t="shared" si="1"/>
        <v>0</v>
      </c>
    </row>
    <row r="36">
      <c r="A36" s="164">
        <v>32.0</v>
      </c>
      <c r="B36" s="172"/>
      <c r="C36" s="172"/>
      <c r="D36" s="171">
        <v>0.0</v>
      </c>
      <c r="E36" s="171">
        <v>0.0</v>
      </c>
      <c r="F36" s="172"/>
      <c r="G36" s="172"/>
      <c r="H36" s="172"/>
      <c r="I36" s="172"/>
      <c r="J36" s="169">
        <f t="shared" si="1"/>
        <v>0</v>
      </c>
    </row>
    <row r="37">
      <c r="A37" s="164">
        <v>33.0</v>
      </c>
      <c r="B37" s="172"/>
      <c r="C37" s="172"/>
      <c r="D37" s="171">
        <v>0.0</v>
      </c>
      <c r="E37" s="171">
        <v>0.0</v>
      </c>
      <c r="F37" s="172"/>
      <c r="G37" s="172"/>
      <c r="H37" s="172"/>
      <c r="I37" s="172"/>
      <c r="J37" s="169">
        <f t="shared" si="1"/>
        <v>0</v>
      </c>
    </row>
    <row r="38">
      <c r="A38" s="164">
        <v>34.0</v>
      </c>
      <c r="B38" s="172"/>
      <c r="C38" s="172"/>
      <c r="D38" s="171">
        <v>0.0</v>
      </c>
      <c r="E38" s="171">
        <v>0.0</v>
      </c>
      <c r="F38" s="172"/>
      <c r="G38" s="172"/>
      <c r="H38" s="172"/>
      <c r="I38" s="172"/>
      <c r="J38" s="169">
        <f t="shared" si="1"/>
        <v>0</v>
      </c>
    </row>
    <row r="39">
      <c r="A39" s="164">
        <v>35.0</v>
      </c>
      <c r="B39" s="172"/>
      <c r="C39" s="172"/>
      <c r="D39" s="171">
        <v>0.0</v>
      </c>
      <c r="E39" s="171">
        <v>0.0</v>
      </c>
      <c r="F39" s="172"/>
      <c r="G39" s="172"/>
      <c r="H39" s="172"/>
      <c r="I39" s="172"/>
      <c r="J39" s="169">
        <f t="shared" si="1"/>
        <v>0</v>
      </c>
    </row>
    <row r="40">
      <c r="A40" s="164">
        <v>36.0</v>
      </c>
      <c r="B40" s="172"/>
      <c r="C40" s="172"/>
      <c r="D40" s="171">
        <v>0.0</v>
      </c>
      <c r="E40" s="171">
        <v>0.0</v>
      </c>
      <c r="F40" s="172"/>
      <c r="G40" s="172"/>
      <c r="H40" s="172"/>
      <c r="I40" s="172"/>
      <c r="J40" s="169">
        <f t="shared" si="1"/>
        <v>0</v>
      </c>
    </row>
    <row r="41">
      <c r="A41" s="164">
        <v>37.0</v>
      </c>
      <c r="B41" s="172"/>
      <c r="C41" s="172"/>
      <c r="D41" s="171">
        <v>0.0</v>
      </c>
      <c r="E41" s="171">
        <v>0.0</v>
      </c>
      <c r="F41" s="172"/>
      <c r="G41" s="172"/>
      <c r="H41" s="172"/>
      <c r="I41" s="172"/>
      <c r="J41" s="169">
        <f t="shared" si="1"/>
        <v>0</v>
      </c>
    </row>
    <row r="42">
      <c r="A42" s="164">
        <v>38.0</v>
      </c>
      <c r="B42" s="172"/>
      <c r="C42" s="172"/>
      <c r="D42" s="171">
        <v>0.0</v>
      </c>
      <c r="E42" s="171">
        <v>0.0</v>
      </c>
      <c r="F42" s="172"/>
      <c r="G42" s="172"/>
      <c r="H42" s="172"/>
      <c r="I42" s="172"/>
      <c r="J42" s="169">
        <f t="shared" si="1"/>
        <v>0</v>
      </c>
    </row>
    <row r="43">
      <c r="A43" s="164">
        <v>39.0</v>
      </c>
      <c r="B43" s="172"/>
      <c r="C43" s="172"/>
      <c r="D43" s="171">
        <v>0.0</v>
      </c>
      <c r="E43" s="171">
        <v>0.0</v>
      </c>
      <c r="F43" s="172"/>
      <c r="G43" s="172"/>
      <c r="H43" s="172"/>
      <c r="I43" s="172"/>
      <c r="J43" s="169">
        <f t="shared" si="1"/>
        <v>0</v>
      </c>
    </row>
    <row r="44">
      <c r="A44" s="164">
        <v>40.0</v>
      </c>
      <c r="B44" s="172"/>
      <c r="C44" s="172"/>
      <c r="D44" s="171">
        <v>0.0</v>
      </c>
      <c r="E44" s="171">
        <v>0.0</v>
      </c>
      <c r="F44" s="172"/>
      <c r="G44" s="172"/>
      <c r="H44" s="172"/>
      <c r="I44" s="172"/>
      <c r="J44" s="169">
        <f t="shared" si="1"/>
        <v>0</v>
      </c>
    </row>
    <row r="45">
      <c r="A45" s="164">
        <v>41.0</v>
      </c>
      <c r="B45" s="172"/>
      <c r="C45" s="172"/>
      <c r="D45" s="171">
        <v>0.0</v>
      </c>
      <c r="E45" s="171">
        <v>0.0</v>
      </c>
      <c r="F45" s="172"/>
      <c r="G45" s="172"/>
      <c r="H45" s="172"/>
      <c r="I45" s="172"/>
      <c r="J45" s="169">
        <f t="shared" si="1"/>
        <v>0</v>
      </c>
    </row>
    <row r="46">
      <c r="A46" s="164">
        <v>42.0</v>
      </c>
      <c r="B46" s="172"/>
      <c r="C46" s="172"/>
      <c r="D46" s="171">
        <v>0.0</v>
      </c>
      <c r="E46" s="171">
        <v>0.0</v>
      </c>
      <c r="F46" s="172"/>
      <c r="G46" s="172"/>
      <c r="H46" s="172"/>
      <c r="I46" s="172"/>
      <c r="J46" s="169">
        <f t="shared" si="1"/>
        <v>0</v>
      </c>
    </row>
    <row r="47">
      <c r="A47" s="164">
        <v>43.0</v>
      </c>
      <c r="B47" s="172"/>
      <c r="C47" s="172"/>
      <c r="D47" s="171">
        <v>0.0</v>
      </c>
      <c r="E47" s="171">
        <v>0.0</v>
      </c>
      <c r="F47" s="172"/>
      <c r="G47" s="172"/>
      <c r="H47" s="172"/>
      <c r="I47" s="172"/>
      <c r="J47" s="169">
        <f t="shared" si="1"/>
        <v>0</v>
      </c>
    </row>
    <row r="48">
      <c r="A48" s="164">
        <v>44.0</v>
      </c>
      <c r="B48" s="172"/>
      <c r="C48" s="172"/>
      <c r="D48" s="171">
        <v>0.0</v>
      </c>
      <c r="E48" s="171">
        <v>0.0</v>
      </c>
      <c r="F48" s="172"/>
      <c r="G48" s="172"/>
      <c r="H48" s="172"/>
      <c r="I48" s="172"/>
      <c r="J48" s="169">
        <f t="shared" si="1"/>
        <v>0</v>
      </c>
    </row>
    <row r="49">
      <c r="A49" s="164">
        <v>45.0</v>
      </c>
      <c r="B49" s="172"/>
      <c r="C49" s="172"/>
      <c r="D49" s="171">
        <v>0.0</v>
      </c>
      <c r="E49" s="171">
        <v>0.0</v>
      </c>
      <c r="F49" s="172"/>
      <c r="G49" s="172"/>
      <c r="H49" s="172"/>
      <c r="I49" s="172"/>
      <c r="J49" s="169">
        <f t="shared" si="1"/>
        <v>0</v>
      </c>
    </row>
    <row r="50">
      <c r="A50" s="164">
        <v>46.0</v>
      </c>
      <c r="B50" s="172"/>
      <c r="C50" s="172"/>
      <c r="D50" s="171">
        <v>0.0</v>
      </c>
      <c r="E50" s="171">
        <v>0.0</v>
      </c>
      <c r="F50" s="172"/>
      <c r="G50" s="172"/>
      <c r="H50" s="172"/>
      <c r="I50" s="172"/>
      <c r="J50" s="169">
        <f t="shared" si="1"/>
        <v>0</v>
      </c>
    </row>
    <row r="51">
      <c r="A51" s="164">
        <v>47.0</v>
      </c>
      <c r="B51" s="172"/>
      <c r="C51" s="172"/>
      <c r="D51" s="171">
        <v>0.0</v>
      </c>
      <c r="E51" s="171">
        <v>0.0</v>
      </c>
      <c r="F51" s="172"/>
      <c r="G51" s="172"/>
      <c r="H51" s="172"/>
      <c r="I51" s="172"/>
      <c r="J51" s="169">
        <f t="shared" si="1"/>
        <v>0</v>
      </c>
    </row>
    <row r="52">
      <c r="A52" s="164">
        <v>48.0</v>
      </c>
      <c r="B52" s="172"/>
      <c r="C52" s="172"/>
      <c r="D52" s="171">
        <v>0.0</v>
      </c>
      <c r="E52" s="171">
        <v>0.0</v>
      </c>
      <c r="F52" s="172"/>
      <c r="G52" s="172"/>
      <c r="H52" s="172"/>
      <c r="I52" s="172"/>
      <c r="J52" s="169">
        <f t="shared" si="1"/>
        <v>0</v>
      </c>
    </row>
    <row r="53">
      <c r="A53" s="164">
        <v>49.0</v>
      </c>
      <c r="B53" s="172"/>
      <c r="C53" s="172"/>
      <c r="D53" s="171">
        <v>0.0</v>
      </c>
      <c r="E53" s="171">
        <v>0.0</v>
      </c>
      <c r="F53" s="172"/>
      <c r="G53" s="172"/>
      <c r="H53" s="172"/>
      <c r="I53" s="172"/>
      <c r="J53" s="169">
        <f t="shared" si="1"/>
        <v>0</v>
      </c>
    </row>
    <row r="54">
      <c r="A54" s="164">
        <v>50.0</v>
      </c>
      <c r="B54" s="172"/>
      <c r="C54" s="172"/>
      <c r="D54" s="171">
        <v>0.0</v>
      </c>
      <c r="E54" s="171">
        <v>0.0</v>
      </c>
      <c r="F54" s="172"/>
      <c r="G54" s="172"/>
      <c r="H54" s="172"/>
      <c r="I54" s="172"/>
      <c r="J54" s="169">
        <f t="shared" si="1"/>
        <v>0</v>
      </c>
    </row>
    <row r="55">
      <c r="A55" s="164">
        <v>51.0</v>
      </c>
      <c r="B55" s="172"/>
      <c r="C55" s="172"/>
      <c r="D55" s="171">
        <v>0.0</v>
      </c>
      <c r="E55" s="171">
        <v>0.0</v>
      </c>
      <c r="F55" s="172"/>
      <c r="G55" s="172"/>
      <c r="H55" s="172"/>
      <c r="I55" s="172"/>
      <c r="J55" s="169">
        <f t="shared" si="1"/>
        <v>0</v>
      </c>
    </row>
    <row r="56">
      <c r="A56" s="164">
        <v>52.0</v>
      </c>
      <c r="B56" s="172"/>
      <c r="C56" s="172"/>
      <c r="D56" s="171">
        <v>0.0</v>
      </c>
      <c r="E56" s="171">
        <v>0.0</v>
      </c>
      <c r="F56" s="172"/>
      <c r="G56" s="172"/>
      <c r="H56" s="172"/>
      <c r="I56" s="172"/>
      <c r="J56" s="169">
        <f t="shared" si="1"/>
        <v>0</v>
      </c>
    </row>
    <row r="57">
      <c r="A57" s="164">
        <v>53.0</v>
      </c>
      <c r="B57" s="172"/>
      <c r="C57" s="172"/>
      <c r="D57" s="171">
        <v>0.0</v>
      </c>
      <c r="E57" s="171">
        <v>0.0</v>
      </c>
      <c r="F57" s="172"/>
      <c r="G57" s="172"/>
      <c r="H57" s="172"/>
      <c r="I57" s="172"/>
      <c r="J57" s="169">
        <f t="shared" si="1"/>
        <v>0</v>
      </c>
    </row>
    <row r="58">
      <c r="A58" s="164">
        <v>54.0</v>
      </c>
      <c r="B58" s="172"/>
      <c r="C58" s="172"/>
      <c r="D58" s="171">
        <v>0.0</v>
      </c>
      <c r="E58" s="171">
        <v>0.0</v>
      </c>
      <c r="F58" s="172"/>
      <c r="G58" s="172"/>
      <c r="H58" s="172"/>
      <c r="I58" s="172"/>
      <c r="J58" s="169">
        <f t="shared" si="1"/>
        <v>0</v>
      </c>
    </row>
    <row r="59">
      <c r="A59" s="164">
        <v>55.0</v>
      </c>
      <c r="B59" s="172"/>
      <c r="C59" s="172"/>
      <c r="D59" s="171">
        <v>0.0</v>
      </c>
      <c r="E59" s="171">
        <v>0.0</v>
      </c>
      <c r="F59" s="172"/>
      <c r="G59" s="172"/>
      <c r="H59" s="172"/>
      <c r="I59" s="172"/>
      <c r="J59" s="169">
        <f t="shared" si="1"/>
        <v>0</v>
      </c>
    </row>
    <row r="60">
      <c r="A60" s="164">
        <v>56.0</v>
      </c>
      <c r="B60" s="172"/>
      <c r="C60" s="172"/>
      <c r="D60" s="171">
        <v>0.0</v>
      </c>
      <c r="E60" s="171">
        <v>0.0</v>
      </c>
      <c r="F60" s="172"/>
      <c r="G60" s="172"/>
      <c r="H60" s="172"/>
      <c r="I60" s="172"/>
      <c r="J60" s="169">
        <f t="shared" si="1"/>
        <v>0</v>
      </c>
    </row>
    <row r="61">
      <c r="A61" s="164">
        <v>57.0</v>
      </c>
      <c r="B61" s="172"/>
      <c r="C61" s="172"/>
      <c r="D61" s="171">
        <v>0.0</v>
      </c>
      <c r="E61" s="171">
        <v>0.0</v>
      </c>
      <c r="F61" s="172"/>
      <c r="G61" s="172"/>
      <c r="H61" s="172"/>
      <c r="I61" s="172"/>
      <c r="J61" s="169">
        <f t="shared" si="1"/>
        <v>0</v>
      </c>
    </row>
    <row r="62">
      <c r="A62" s="164">
        <v>58.0</v>
      </c>
      <c r="B62" s="172"/>
      <c r="C62" s="172"/>
      <c r="D62" s="171">
        <v>0.0</v>
      </c>
      <c r="E62" s="171">
        <v>0.0</v>
      </c>
      <c r="F62" s="172"/>
      <c r="G62" s="172"/>
      <c r="H62" s="172"/>
      <c r="I62" s="172"/>
      <c r="J62" s="169">
        <f t="shared" si="1"/>
        <v>0</v>
      </c>
    </row>
    <row r="63">
      <c r="A63" s="164">
        <v>59.0</v>
      </c>
      <c r="B63" s="172"/>
      <c r="C63" s="172"/>
      <c r="D63" s="171">
        <v>0.0</v>
      </c>
      <c r="E63" s="171">
        <v>0.0</v>
      </c>
      <c r="F63" s="172"/>
      <c r="G63" s="172"/>
      <c r="H63" s="172"/>
      <c r="I63" s="172"/>
      <c r="J63" s="169">
        <f t="shared" si="1"/>
        <v>0</v>
      </c>
    </row>
    <row r="64">
      <c r="A64" s="164">
        <v>60.0</v>
      </c>
      <c r="B64" s="172"/>
      <c r="C64" s="172"/>
      <c r="D64" s="171">
        <v>0.0</v>
      </c>
      <c r="E64" s="171">
        <v>0.0</v>
      </c>
      <c r="F64" s="172"/>
      <c r="G64" s="172"/>
      <c r="H64" s="172"/>
      <c r="I64" s="172"/>
      <c r="J64" s="169">
        <f t="shared" si="1"/>
        <v>0</v>
      </c>
    </row>
    <row r="65">
      <c r="A65" s="164">
        <v>61.0</v>
      </c>
      <c r="B65" s="172"/>
      <c r="C65" s="172"/>
      <c r="D65" s="171">
        <v>0.0</v>
      </c>
      <c r="E65" s="171">
        <v>0.0</v>
      </c>
      <c r="F65" s="172"/>
      <c r="G65" s="172"/>
      <c r="H65" s="172"/>
      <c r="I65" s="172"/>
      <c r="J65" s="169">
        <f t="shared" si="1"/>
        <v>0</v>
      </c>
    </row>
    <row r="66">
      <c r="A66" s="164">
        <v>62.0</v>
      </c>
      <c r="B66" s="172"/>
      <c r="C66" s="172"/>
      <c r="D66" s="171">
        <v>0.0</v>
      </c>
      <c r="E66" s="171">
        <v>0.0</v>
      </c>
      <c r="F66" s="172"/>
      <c r="G66" s="172"/>
      <c r="H66" s="172"/>
      <c r="I66" s="172"/>
      <c r="J66" s="169">
        <f t="shared" si="1"/>
        <v>0</v>
      </c>
    </row>
    <row r="67">
      <c r="A67" s="164">
        <v>63.0</v>
      </c>
      <c r="B67" s="172"/>
      <c r="C67" s="172"/>
      <c r="D67" s="171">
        <v>0.0</v>
      </c>
      <c r="E67" s="171">
        <v>0.0</v>
      </c>
      <c r="F67" s="172"/>
      <c r="G67" s="172"/>
      <c r="H67" s="172"/>
      <c r="I67" s="172"/>
      <c r="J67" s="169">
        <f t="shared" si="1"/>
        <v>0</v>
      </c>
    </row>
    <row r="68">
      <c r="A68" s="164">
        <v>64.0</v>
      </c>
      <c r="B68" s="172"/>
      <c r="C68" s="172"/>
      <c r="D68" s="171">
        <v>0.0</v>
      </c>
      <c r="E68" s="171">
        <v>0.0</v>
      </c>
      <c r="F68" s="172"/>
      <c r="G68" s="172"/>
      <c r="H68" s="172"/>
      <c r="I68" s="172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27 F69:F500">
    <cfRule type="containsText" dxfId="7" priority="1" operator="containsText" text="oui">
      <formula>NOT(ISERROR(SEARCH(("oui"),(F5))))</formula>
    </cfRule>
  </conditionalFormatting>
  <conditionalFormatting sqref="F5:F27 F69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21.88"/>
    <col customWidth="1" min="10" max="10" width="14.0"/>
    <col customWidth="1" min="11" max="11" width="9.88"/>
    <col customWidth="1" min="12" max="12" width="31.38"/>
    <col customWidth="1" min="13" max="13" width="18.5"/>
    <col customWidth="1" min="14" max="14" width="18.0"/>
  </cols>
  <sheetData>
    <row r="1">
      <c r="A1" s="178" t="s">
        <v>161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79" t="s">
        <v>117</v>
      </c>
      <c r="B3" s="180" t="s">
        <v>118</v>
      </c>
      <c r="C3" s="180" t="s">
        <v>119</v>
      </c>
      <c r="D3" s="181" t="s">
        <v>120</v>
      </c>
      <c r="E3" s="181" t="s">
        <v>121</v>
      </c>
      <c r="F3" s="126" t="s">
        <v>122</v>
      </c>
      <c r="G3" s="180" t="s">
        <v>123</v>
      </c>
      <c r="H3" s="180" t="s">
        <v>124</v>
      </c>
      <c r="I3" s="180" t="s">
        <v>125</v>
      </c>
      <c r="J3" s="128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141" t="s">
        <v>138</v>
      </c>
    </row>
    <row r="5">
      <c r="A5" s="129">
        <v>1.0</v>
      </c>
      <c r="B5" s="133"/>
      <c r="C5" s="133"/>
      <c r="D5" s="132">
        <v>0.0</v>
      </c>
      <c r="E5" s="132">
        <v>0.0</v>
      </c>
      <c r="F5" s="131"/>
      <c r="G5" s="133"/>
      <c r="H5" s="133"/>
      <c r="I5" s="133"/>
      <c r="J5" s="134">
        <f t="shared" ref="J5:J81" si="1">$E5-$D5</f>
        <v>0</v>
      </c>
      <c r="L5" s="118">
        <f>COUNTIF(F5:F81,"OUI")</f>
        <v>0</v>
      </c>
      <c r="M5" s="109" t="s">
        <v>106</v>
      </c>
    </row>
    <row r="6">
      <c r="A6" s="129">
        <v>2.0</v>
      </c>
      <c r="B6" s="133"/>
      <c r="C6" s="133"/>
      <c r="D6" s="132">
        <v>0.0</v>
      </c>
      <c r="E6" s="132">
        <v>0.0</v>
      </c>
      <c r="F6" s="131"/>
      <c r="G6" s="133"/>
      <c r="H6" s="133"/>
      <c r="I6" s="133"/>
      <c r="J6" s="134">
        <f t="shared" si="1"/>
        <v>0</v>
      </c>
    </row>
    <row r="7">
      <c r="A7" s="129">
        <v>3.0</v>
      </c>
      <c r="B7" s="133"/>
      <c r="C7" s="133"/>
      <c r="D7" s="132">
        <v>0.0</v>
      </c>
      <c r="E7" s="132">
        <v>0.0</v>
      </c>
      <c r="F7" s="131"/>
      <c r="G7" s="133"/>
      <c r="H7" s="133"/>
      <c r="I7" s="133"/>
      <c r="J7" s="134">
        <f t="shared" si="1"/>
        <v>0</v>
      </c>
      <c r="L7" s="141" t="s">
        <v>139</v>
      </c>
    </row>
    <row r="8">
      <c r="A8" s="129">
        <v>4.0</v>
      </c>
      <c r="B8" s="133"/>
      <c r="C8" s="133"/>
      <c r="D8" s="132">
        <v>0.0</v>
      </c>
      <c r="E8" s="132">
        <v>0.0</v>
      </c>
      <c r="F8" s="131"/>
      <c r="G8" s="133"/>
      <c r="H8" s="133"/>
      <c r="I8" s="133"/>
      <c r="J8" s="134">
        <f t="shared" si="1"/>
        <v>0</v>
      </c>
      <c r="L8" s="142">
        <f>COUNTIF(F5:F84,"NON")+L5</f>
        <v>0</v>
      </c>
    </row>
    <row r="9">
      <c r="A9" s="129">
        <v>5.0</v>
      </c>
      <c r="B9" s="133"/>
      <c r="C9" s="133"/>
      <c r="D9" s="132">
        <v>0.0</v>
      </c>
      <c r="E9" s="132">
        <v>0.0</v>
      </c>
      <c r="F9" s="131"/>
      <c r="G9" s="133"/>
      <c r="H9" s="133"/>
      <c r="I9" s="133"/>
      <c r="J9" s="134">
        <f t="shared" si="1"/>
        <v>0</v>
      </c>
    </row>
    <row r="10">
      <c r="A10" s="129">
        <v>6.0</v>
      </c>
      <c r="B10" s="133"/>
      <c r="C10" s="133"/>
      <c r="D10" s="132">
        <v>0.0</v>
      </c>
      <c r="E10" s="132">
        <v>0.0</v>
      </c>
      <c r="F10" s="131"/>
      <c r="G10" s="133"/>
      <c r="H10" s="133"/>
      <c r="I10" s="133"/>
      <c r="J10" s="134">
        <f t="shared" si="1"/>
        <v>0</v>
      </c>
    </row>
    <row r="11">
      <c r="A11" s="129">
        <v>7.0</v>
      </c>
      <c r="B11" s="133"/>
      <c r="C11" s="133"/>
      <c r="D11" s="132">
        <v>0.0</v>
      </c>
      <c r="E11" s="132">
        <v>0.0</v>
      </c>
      <c r="F11" s="131"/>
      <c r="G11" s="133"/>
      <c r="H11" s="133"/>
      <c r="I11" s="133"/>
      <c r="J11" s="134">
        <f t="shared" si="1"/>
        <v>0</v>
      </c>
    </row>
    <row r="12">
      <c r="A12" s="129">
        <v>8.0</v>
      </c>
      <c r="B12" s="133"/>
      <c r="C12" s="133"/>
      <c r="D12" s="132">
        <v>0.0</v>
      </c>
      <c r="E12" s="132">
        <v>0.0</v>
      </c>
      <c r="F12" s="131"/>
      <c r="G12" s="133"/>
      <c r="H12" s="133"/>
      <c r="I12" s="133"/>
      <c r="J12" s="134">
        <f t="shared" si="1"/>
        <v>0</v>
      </c>
      <c r="O12" s="176"/>
    </row>
    <row r="13">
      <c r="A13" s="129">
        <v>9.0</v>
      </c>
      <c r="B13" s="133"/>
      <c r="C13" s="133"/>
      <c r="D13" s="132">
        <v>0.0</v>
      </c>
      <c r="E13" s="132">
        <v>0.0</v>
      </c>
      <c r="F13" s="131"/>
      <c r="G13" s="133"/>
      <c r="H13" s="133"/>
      <c r="I13" s="133"/>
      <c r="J13" s="134">
        <f t="shared" si="1"/>
        <v>0</v>
      </c>
      <c r="O13" s="176"/>
    </row>
    <row r="14">
      <c r="A14" s="129">
        <v>10.0</v>
      </c>
      <c r="B14" s="133"/>
      <c r="C14" s="133"/>
      <c r="D14" s="132">
        <v>0.0</v>
      </c>
      <c r="E14" s="132">
        <v>0.0</v>
      </c>
      <c r="F14" s="131"/>
      <c r="G14" s="133"/>
      <c r="H14" s="133"/>
      <c r="I14" s="133"/>
      <c r="J14" s="134">
        <f t="shared" si="1"/>
        <v>0</v>
      </c>
      <c r="O14" s="176"/>
    </row>
    <row r="15">
      <c r="A15" s="129">
        <v>11.0</v>
      </c>
      <c r="B15" s="133"/>
      <c r="C15" s="133"/>
      <c r="D15" s="132">
        <v>0.0</v>
      </c>
      <c r="E15" s="132">
        <v>0.0</v>
      </c>
      <c r="F15" s="131"/>
      <c r="G15" s="133"/>
      <c r="H15" s="133"/>
      <c r="I15" s="133"/>
      <c r="J15" s="134">
        <f t="shared" si="1"/>
        <v>0</v>
      </c>
      <c r="L15" s="176"/>
      <c r="M15" s="176"/>
      <c r="N15" s="176"/>
      <c r="O15" s="176"/>
    </row>
    <row r="16">
      <c r="A16" s="129">
        <v>12.0</v>
      </c>
      <c r="B16" s="133"/>
      <c r="C16" s="133"/>
      <c r="D16" s="132">
        <v>0.0</v>
      </c>
      <c r="E16" s="132">
        <v>0.0</v>
      </c>
      <c r="F16" s="131"/>
      <c r="G16" s="133"/>
      <c r="H16" s="133"/>
      <c r="I16" s="133"/>
      <c r="J16" s="134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29">
        <v>13.0</v>
      </c>
      <c r="B17" s="133"/>
      <c r="C17" s="133"/>
      <c r="D17" s="132">
        <v>0.0</v>
      </c>
      <c r="E17" s="132">
        <v>0.0</v>
      </c>
      <c r="F17" s="131"/>
      <c r="G17" s="133"/>
      <c r="H17" s="133"/>
      <c r="I17" s="133"/>
      <c r="J17" s="134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29">
        <v>14.0</v>
      </c>
      <c r="B18" s="133"/>
      <c r="C18" s="133"/>
      <c r="D18" s="132">
        <v>0.0</v>
      </c>
      <c r="E18" s="132">
        <v>0.0</v>
      </c>
      <c r="F18" s="131"/>
      <c r="G18" s="133"/>
      <c r="H18" s="133"/>
      <c r="I18" s="133"/>
      <c r="J18" s="134">
        <f t="shared" si="1"/>
        <v>0</v>
      </c>
    </row>
    <row r="19">
      <c r="A19" s="129">
        <v>15.0</v>
      </c>
      <c r="B19" s="133"/>
      <c r="C19" s="133"/>
      <c r="D19" s="132">
        <v>0.0</v>
      </c>
      <c r="E19" s="132">
        <v>0.0</v>
      </c>
      <c r="F19" s="131"/>
      <c r="G19" s="133"/>
      <c r="H19" s="133"/>
      <c r="I19" s="133"/>
      <c r="J19" s="134">
        <f t="shared" si="1"/>
        <v>0</v>
      </c>
    </row>
    <row r="20">
      <c r="A20" s="129">
        <v>16.0</v>
      </c>
      <c r="B20" s="133"/>
      <c r="C20" s="133"/>
      <c r="D20" s="132">
        <v>0.0</v>
      </c>
      <c r="E20" s="132">
        <v>0.0</v>
      </c>
      <c r="F20" s="131"/>
      <c r="G20" s="133"/>
      <c r="H20" s="133"/>
      <c r="I20" s="133"/>
      <c r="J20" s="134">
        <f t="shared" si="1"/>
        <v>0</v>
      </c>
    </row>
    <row r="21">
      <c r="A21" s="129">
        <v>17.0</v>
      </c>
      <c r="B21" s="133"/>
      <c r="C21" s="133"/>
      <c r="D21" s="132">
        <v>0.0</v>
      </c>
      <c r="E21" s="132">
        <v>0.0</v>
      </c>
      <c r="F21" s="131"/>
      <c r="G21" s="133"/>
      <c r="H21" s="133"/>
      <c r="I21" s="133"/>
      <c r="J21" s="134">
        <f t="shared" si="1"/>
        <v>0</v>
      </c>
    </row>
    <row r="22">
      <c r="A22" s="129">
        <v>18.0</v>
      </c>
      <c r="B22" s="133"/>
      <c r="C22" s="133"/>
      <c r="D22" s="132">
        <v>0.0</v>
      </c>
      <c r="E22" s="132">
        <v>0.0</v>
      </c>
      <c r="F22" s="131"/>
      <c r="G22" s="133"/>
      <c r="H22" s="133"/>
      <c r="I22" s="133"/>
      <c r="J22" s="134">
        <f t="shared" si="1"/>
        <v>0</v>
      </c>
    </row>
    <row r="23">
      <c r="A23" s="129">
        <v>19.0</v>
      </c>
      <c r="B23" s="133"/>
      <c r="C23" s="133"/>
      <c r="D23" s="132">
        <v>0.0</v>
      </c>
      <c r="E23" s="132">
        <v>0.0</v>
      </c>
      <c r="F23" s="131"/>
      <c r="G23" s="133"/>
      <c r="H23" s="133"/>
      <c r="I23" s="133"/>
      <c r="J23" s="134">
        <f t="shared" si="1"/>
        <v>0</v>
      </c>
    </row>
    <row r="24">
      <c r="A24" s="129">
        <v>20.0</v>
      </c>
      <c r="B24" s="133"/>
      <c r="C24" s="133"/>
      <c r="D24" s="132">
        <v>0.0</v>
      </c>
      <c r="E24" s="132">
        <v>0.0</v>
      </c>
      <c r="F24" s="131"/>
      <c r="G24" s="133"/>
      <c r="H24" s="133"/>
      <c r="I24" s="133"/>
      <c r="J24" s="134">
        <f t="shared" si="1"/>
        <v>0</v>
      </c>
    </row>
    <row r="25">
      <c r="A25" s="129">
        <v>21.0</v>
      </c>
      <c r="B25" s="133"/>
      <c r="C25" s="133"/>
      <c r="D25" s="132">
        <v>0.0</v>
      </c>
      <c r="E25" s="132">
        <v>0.0</v>
      </c>
      <c r="F25" s="131"/>
      <c r="G25" s="133"/>
      <c r="H25" s="133"/>
      <c r="I25" s="133"/>
      <c r="J25" s="134">
        <f t="shared" si="1"/>
        <v>0</v>
      </c>
    </row>
    <row r="26">
      <c r="A26" s="129">
        <v>22.0</v>
      </c>
      <c r="B26" s="133"/>
      <c r="C26" s="133"/>
      <c r="D26" s="132">
        <v>0.0</v>
      </c>
      <c r="E26" s="132">
        <v>0.0</v>
      </c>
      <c r="F26" s="131"/>
      <c r="G26" s="133"/>
      <c r="H26" s="133"/>
      <c r="I26" s="133"/>
      <c r="J26" s="134">
        <f t="shared" si="1"/>
        <v>0</v>
      </c>
    </row>
    <row r="27">
      <c r="A27" s="129">
        <v>23.0</v>
      </c>
      <c r="B27" s="133"/>
      <c r="C27" s="133"/>
      <c r="D27" s="132">
        <v>0.0</v>
      </c>
      <c r="E27" s="132">
        <v>0.0</v>
      </c>
      <c r="F27" s="131"/>
      <c r="G27" s="133"/>
      <c r="H27" s="133"/>
      <c r="I27" s="133"/>
      <c r="J27" s="134">
        <f t="shared" si="1"/>
        <v>0</v>
      </c>
    </row>
    <row r="28">
      <c r="A28" s="129">
        <v>24.0</v>
      </c>
      <c r="B28" s="133"/>
      <c r="C28" s="133"/>
      <c r="D28" s="132">
        <v>0.0</v>
      </c>
      <c r="E28" s="132">
        <v>0.0</v>
      </c>
      <c r="F28" s="133"/>
      <c r="G28" s="133"/>
      <c r="H28" s="133"/>
      <c r="I28" s="133"/>
      <c r="J28" s="134">
        <f t="shared" si="1"/>
        <v>0</v>
      </c>
    </row>
    <row r="29">
      <c r="A29" s="129">
        <v>25.0</v>
      </c>
      <c r="B29" s="133"/>
      <c r="C29" s="133"/>
      <c r="D29" s="132">
        <v>0.0</v>
      </c>
      <c r="E29" s="132">
        <v>0.0</v>
      </c>
      <c r="F29" s="133"/>
      <c r="G29" s="133"/>
      <c r="H29" s="133"/>
      <c r="I29" s="133"/>
      <c r="J29" s="134">
        <f t="shared" si="1"/>
        <v>0</v>
      </c>
    </row>
    <row r="30">
      <c r="A30" s="129">
        <v>26.0</v>
      </c>
      <c r="B30" s="133"/>
      <c r="C30" s="133"/>
      <c r="D30" s="132">
        <v>0.0</v>
      </c>
      <c r="E30" s="132">
        <v>0.0</v>
      </c>
      <c r="F30" s="133"/>
      <c r="G30" s="133"/>
      <c r="H30" s="133"/>
      <c r="I30" s="133"/>
      <c r="J30" s="134">
        <f t="shared" si="1"/>
        <v>0</v>
      </c>
    </row>
    <row r="31">
      <c r="A31" s="129">
        <v>27.0</v>
      </c>
      <c r="B31" s="133"/>
      <c r="C31" s="133"/>
      <c r="D31" s="132">
        <v>0.0</v>
      </c>
      <c r="E31" s="132">
        <v>0.0</v>
      </c>
      <c r="F31" s="133"/>
      <c r="G31" s="133"/>
      <c r="H31" s="133"/>
      <c r="I31" s="133"/>
      <c r="J31" s="134">
        <f t="shared" si="1"/>
        <v>0</v>
      </c>
    </row>
    <row r="32">
      <c r="A32" s="129">
        <v>28.0</v>
      </c>
      <c r="B32" s="133"/>
      <c r="C32" s="133"/>
      <c r="D32" s="132">
        <v>0.0</v>
      </c>
      <c r="E32" s="132">
        <v>0.0</v>
      </c>
      <c r="F32" s="133"/>
      <c r="G32" s="133"/>
      <c r="H32" s="133"/>
      <c r="I32" s="133"/>
      <c r="J32" s="134">
        <f t="shared" si="1"/>
        <v>0</v>
      </c>
    </row>
    <row r="33">
      <c r="A33" s="129">
        <v>29.0</v>
      </c>
      <c r="B33" s="133"/>
      <c r="C33" s="133"/>
      <c r="D33" s="132">
        <v>0.0</v>
      </c>
      <c r="E33" s="132">
        <v>0.0</v>
      </c>
      <c r="F33" s="133"/>
      <c r="G33" s="133"/>
      <c r="H33" s="133"/>
      <c r="I33" s="133"/>
      <c r="J33" s="134">
        <f t="shared" si="1"/>
        <v>0</v>
      </c>
    </row>
    <row r="34">
      <c r="A34" s="129">
        <v>30.0</v>
      </c>
      <c r="B34" s="133"/>
      <c r="C34" s="133"/>
      <c r="D34" s="132">
        <v>0.0</v>
      </c>
      <c r="E34" s="132">
        <v>0.0</v>
      </c>
      <c r="F34" s="133"/>
      <c r="G34" s="133"/>
      <c r="H34" s="133"/>
      <c r="I34" s="133"/>
      <c r="J34" s="134">
        <f t="shared" si="1"/>
        <v>0</v>
      </c>
    </row>
    <row r="35">
      <c r="A35" s="129">
        <v>31.0</v>
      </c>
      <c r="B35" s="133"/>
      <c r="C35" s="133"/>
      <c r="D35" s="132">
        <v>0.0</v>
      </c>
      <c r="E35" s="132">
        <v>0.0</v>
      </c>
      <c r="F35" s="133"/>
      <c r="G35" s="133"/>
      <c r="H35" s="133"/>
      <c r="I35" s="133"/>
      <c r="J35" s="134">
        <f t="shared" si="1"/>
        <v>0</v>
      </c>
    </row>
    <row r="36">
      <c r="A36" s="129">
        <v>32.0</v>
      </c>
      <c r="B36" s="133"/>
      <c r="C36" s="133"/>
      <c r="D36" s="132">
        <v>0.0</v>
      </c>
      <c r="E36" s="132">
        <v>0.0</v>
      </c>
      <c r="F36" s="133"/>
      <c r="G36" s="133"/>
      <c r="H36" s="133"/>
      <c r="I36" s="133"/>
      <c r="J36" s="134">
        <f t="shared" si="1"/>
        <v>0</v>
      </c>
    </row>
    <row r="37">
      <c r="A37" s="129">
        <v>33.0</v>
      </c>
      <c r="B37" s="133"/>
      <c r="C37" s="133"/>
      <c r="D37" s="132">
        <v>0.0</v>
      </c>
      <c r="E37" s="132">
        <v>0.0</v>
      </c>
      <c r="F37" s="133"/>
      <c r="G37" s="133"/>
      <c r="H37" s="133"/>
      <c r="I37" s="133"/>
      <c r="J37" s="134">
        <f t="shared" si="1"/>
        <v>0</v>
      </c>
    </row>
    <row r="38">
      <c r="A38" s="129">
        <v>34.0</v>
      </c>
      <c r="B38" s="133"/>
      <c r="C38" s="133"/>
      <c r="D38" s="132">
        <v>0.0</v>
      </c>
      <c r="E38" s="132">
        <v>0.0</v>
      </c>
      <c r="F38" s="133"/>
      <c r="G38" s="133"/>
      <c r="H38" s="133"/>
      <c r="I38" s="133"/>
      <c r="J38" s="134">
        <f t="shared" si="1"/>
        <v>0</v>
      </c>
    </row>
    <row r="39">
      <c r="A39" s="129">
        <v>35.0</v>
      </c>
      <c r="B39" s="133"/>
      <c r="C39" s="133"/>
      <c r="D39" s="132">
        <v>0.0</v>
      </c>
      <c r="E39" s="132">
        <v>0.0</v>
      </c>
      <c r="F39" s="133"/>
      <c r="G39" s="133"/>
      <c r="H39" s="133"/>
      <c r="I39" s="133"/>
      <c r="J39" s="134">
        <f t="shared" si="1"/>
        <v>0</v>
      </c>
    </row>
    <row r="40">
      <c r="A40" s="129">
        <v>36.0</v>
      </c>
      <c r="B40" s="133"/>
      <c r="C40" s="133"/>
      <c r="D40" s="132">
        <v>0.0</v>
      </c>
      <c r="E40" s="132">
        <v>0.0</v>
      </c>
      <c r="F40" s="133"/>
      <c r="G40" s="133"/>
      <c r="H40" s="133"/>
      <c r="I40" s="133"/>
      <c r="J40" s="134">
        <f t="shared" si="1"/>
        <v>0</v>
      </c>
    </row>
    <row r="41">
      <c r="A41" s="129">
        <v>37.0</v>
      </c>
      <c r="B41" s="133"/>
      <c r="C41" s="133"/>
      <c r="D41" s="132">
        <v>0.0</v>
      </c>
      <c r="E41" s="132">
        <v>0.0</v>
      </c>
      <c r="F41" s="133"/>
      <c r="G41" s="133"/>
      <c r="H41" s="133"/>
      <c r="I41" s="133"/>
      <c r="J41" s="134">
        <f t="shared" si="1"/>
        <v>0</v>
      </c>
    </row>
    <row r="42">
      <c r="A42" s="129">
        <v>38.0</v>
      </c>
      <c r="B42" s="133"/>
      <c r="C42" s="133"/>
      <c r="D42" s="132">
        <v>0.0</v>
      </c>
      <c r="E42" s="132">
        <v>0.0</v>
      </c>
      <c r="F42" s="133"/>
      <c r="G42" s="133"/>
      <c r="H42" s="133"/>
      <c r="I42" s="133"/>
      <c r="J42" s="134">
        <f t="shared" si="1"/>
        <v>0</v>
      </c>
    </row>
    <row r="43">
      <c r="A43" s="129">
        <v>39.0</v>
      </c>
      <c r="B43" s="133"/>
      <c r="C43" s="133"/>
      <c r="D43" s="132">
        <v>0.0</v>
      </c>
      <c r="E43" s="132">
        <v>0.0</v>
      </c>
      <c r="F43" s="133"/>
      <c r="G43" s="133"/>
      <c r="H43" s="133"/>
      <c r="I43" s="133"/>
      <c r="J43" s="134">
        <f t="shared" si="1"/>
        <v>0</v>
      </c>
    </row>
    <row r="44">
      <c r="A44" s="129">
        <v>40.0</v>
      </c>
      <c r="B44" s="133"/>
      <c r="C44" s="133"/>
      <c r="D44" s="132">
        <v>0.0</v>
      </c>
      <c r="E44" s="132">
        <v>0.0</v>
      </c>
      <c r="F44" s="133"/>
      <c r="G44" s="133"/>
      <c r="H44" s="133"/>
      <c r="I44" s="133"/>
      <c r="J44" s="134">
        <f t="shared" si="1"/>
        <v>0</v>
      </c>
    </row>
    <row r="45">
      <c r="A45" s="129">
        <v>41.0</v>
      </c>
      <c r="B45" s="133"/>
      <c r="C45" s="133"/>
      <c r="D45" s="132">
        <v>0.0</v>
      </c>
      <c r="E45" s="132">
        <v>0.0</v>
      </c>
      <c r="F45" s="133"/>
      <c r="G45" s="133"/>
      <c r="H45" s="133"/>
      <c r="I45" s="133"/>
      <c r="J45" s="134">
        <f t="shared" si="1"/>
        <v>0</v>
      </c>
    </row>
    <row r="46">
      <c r="A46" s="129">
        <v>42.0</v>
      </c>
      <c r="B46" s="133"/>
      <c r="C46" s="133"/>
      <c r="D46" s="132">
        <v>0.0</v>
      </c>
      <c r="E46" s="132">
        <v>0.0</v>
      </c>
      <c r="F46" s="133"/>
      <c r="G46" s="133"/>
      <c r="H46" s="133"/>
      <c r="I46" s="133"/>
      <c r="J46" s="134">
        <f t="shared" si="1"/>
        <v>0</v>
      </c>
    </row>
    <row r="47">
      <c r="A47" s="129">
        <v>43.0</v>
      </c>
      <c r="B47" s="133"/>
      <c r="C47" s="133"/>
      <c r="D47" s="132">
        <v>0.0</v>
      </c>
      <c r="E47" s="132">
        <v>0.0</v>
      </c>
      <c r="F47" s="133"/>
      <c r="G47" s="133"/>
      <c r="H47" s="133"/>
      <c r="I47" s="133"/>
      <c r="J47" s="134">
        <f t="shared" si="1"/>
        <v>0</v>
      </c>
    </row>
    <row r="48">
      <c r="A48" s="129">
        <v>44.0</v>
      </c>
      <c r="B48" s="133"/>
      <c r="C48" s="133"/>
      <c r="D48" s="132">
        <v>0.0</v>
      </c>
      <c r="E48" s="132">
        <v>0.0</v>
      </c>
      <c r="F48" s="133"/>
      <c r="G48" s="133"/>
      <c r="H48" s="133"/>
      <c r="I48" s="133"/>
      <c r="J48" s="134">
        <f t="shared" si="1"/>
        <v>0</v>
      </c>
    </row>
    <row r="49">
      <c r="A49" s="129">
        <v>45.0</v>
      </c>
      <c r="B49" s="133"/>
      <c r="C49" s="133"/>
      <c r="D49" s="132">
        <v>0.0</v>
      </c>
      <c r="E49" s="132">
        <v>0.0</v>
      </c>
      <c r="F49" s="133"/>
      <c r="G49" s="133"/>
      <c r="H49" s="133"/>
      <c r="I49" s="133"/>
      <c r="J49" s="134">
        <f t="shared" si="1"/>
        <v>0</v>
      </c>
    </row>
    <row r="50">
      <c r="A50" s="129">
        <v>46.0</v>
      </c>
      <c r="B50" s="133"/>
      <c r="C50" s="133"/>
      <c r="D50" s="132">
        <v>0.0</v>
      </c>
      <c r="E50" s="132">
        <v>0.0</v>
      </c>
      <c r="F50" s="133"/>
      <c r="G50" s="133"/>
      <c r="H50" s="133"/>
      <c r="I50" s="133"/>
      <c r="J50" s="134">
        <f t="shared" si="1"/>
        <v>0</v>
      </c>
    </row>
    <row r="51">
      <c r="A51" s="129">
        <v>47.0</v>
      </c>
      <c r="B51" s="133"/>
      <c r="C51" s="133"/>
      <c r="D51" s="132">
        <v>0.0</v>
      </c>
      <c r="E51" s="132">
        <v>0.0</v>
      </c>
      <c r="F51" s="133"/>
      <c r="G51" s="133"/>
      <c r="H51" s="133"/>
      <c r="I51" s="133"/>
      <c r="J51" s="134">
        <f t="shared" si="1"/>
        <v>0</v>
      </c>
    </row>
    <row r="52">
      <c r="A52" s="129">
        <v>48.0</v>
      </c>
      <c r="B52" s="133"/>
      <c r="C52" s="133"/>
      <c r="D52" s="132">
        <v>0.0</v>
      </c>
      <c r="E52" s="132">
        <v>0.0</v>
      </c>
      <c r="F52" s="133"/>
      <c r="G52" s="133"/>
      <c r="H52" s="133"/>
      <c r="I52" s="133"/>
      <c r="J52" s="134">
        <f t="shared" si="1"/>
        <v>0</v>
      </c>
    </row>
    <row r="53">
      <c r="A53" s="129">
        <v>49.0</v>
      </c>
      <c r="B53" s="133"/>
      <c r="C53" s="133"/>
      <c r="D53" s="132">
        <v>0.0</v>
      </c>
      <c r="E53" s="132">
        <v>0.0</v>
      </c>
      <c r="F53" s="133"/>
      <c r="G53" s="133"/>
      <c r="H53" s="133"/>
      <c r="I53" s="133"/>
      <c r="J53" s="134">
        <f t="shared" si="1"/>
        <v>0</v>
      </c>
    </row>
    <row r="54">
      <c r="A54" s="129">
        <v>50.0</v>
      </c>
      <c r="B54" s="133"/>
      <c r="C54" s="133"/>
      <c r="D54" s="132">
        <v>0.0</v>
      </c>
      <c r="E54" s="132">
        <v>0.0</v>
      </c>
      <c r="F54" s="133"/>
      <c r="G54" s="133"/>
      <c r="H54" s="133"/>
      <c r="I54" s="133"/>
      <c r="J54" s="134">
        <f t="shared" si="1"/>
        <v>0</v>
      </c>
    </row>
    <row r="55">
      <c r="A55" s="129">
        <v>51.0</v>
      </c>
      <c r="B55" s="133"/>
      <c r="C55" s="133"/>
      <c r="D55" s="132">
        <v>0.0</v>
      </c>
      <c r="E55" s="132">
        <v>0.0</v>
      </c>
      <c r="F55" s="133"/>
      <c r="G55" s="133"/>
      <c r="H55" s="133"/>
      <c r="I55" s="133"/>
      <c r="J55" s="134">
        <f t="shared" si="1"/>
        <v>0</v>
      </c>
    </row>
    <row r="56">
      <c r="A56" s="129">
        <v>52.0</v>
      </c>
      <c r="B56" s="133"/>
      <c r="C56" s="133"/>
      <c r="D56" s="132">
        <v>0.0</v>
      </c>
      <c r="E56" s="132">
        <v>0.0</v>
      </c>
      <c r="F56" s="133"/>
      <c r="G56" s="133"/>
      <c r="H56" s="133"/>
      <c r="I56" s="133"/>
      <c r="J56" s="134">
        <f t="shared" si="1"/>
        <v>0</v>
      </c>
    </row>
    <row r="57">
      <c r="A57" s="129">
        <v>53.0</v>
      </c>
      <c r="B57" s="133"/>
      <c r="C57" s="133"/>
      <c r="D57" s="132">
        <v>0.0</v>
      </c>
      <c r="E57" s="132">
        <v>0.0</v>
      </c>
      <c r="F57" s="133"/>
      <c r="G57" s="133"/>
      <c r="H57" s="133"/>
      <c r="I57" s="133"/>
      <c r="J57" s="134">
        <f t="shared" si="1"/>
        <v>0</v>
      </c>
    </row>
    <row r="58">
      <c r="A58" s="129">
        <v>54.0</v>
      </c>
      <c r="B58" s="133"/>
      <c r="C58" s="133"/>
      <c r="D58" s="132">
        <v>0.0</v>
      </c>
      <c r="E58" s="132">
        <v>0.0</v>
      </c>
      <c r="F58" s="133"/>
      <c r="G58" s="133"/>
      <c r="H58" s="133"/>
      <c r="I58" s="133"/>
      <c r="J58" s="134">
        <f t="shared" si="1"/>
        <v>0</v>
      </c>
    </row>
    <row r="59">
      <c r="A59" s="129">
        <v>55.0</v>
      </c>
      <c r="B59" s="133"/>
      <c r="C59" s="133"/>
      <c r="D59" s="132">
        <v>0.0</v>
      </c>
      <c r="E59" s="132">
        <v>0.0</v>
      </c>
      <c r="F59" s="133"/>
      <c r="G59" s="133"/>
      <c r="H59" s="133"/>
      <c r="I59" s="133"/>
      <c r="J59" s="134">
        <f t="shared" si="1"/>
        <v>0</v>
      </c>
    </row>
    <row r="60">
      <c r="A60" s="129">
        <v>56.0</v>
      </c>
      <c r="B60" s="133"/>
      <c r="C60" s="133"/>
      <c r="D60" s="132">
        <v>0.0</v>
      </c>
      <c r="E60" s="132">
        <v>0.0</v>
      </c>
      <c r="F60" s="133"/>
      <c r="G60" s="133"/>
      <c r="H60" s="133"/>
      <c r="I60" s="133"/>
      <c r="J60" s="134">
        <f t="shared" si="1"/>
        <v>0</v>
      </c>
    </row>
    <row r="61">
      <c r="A61" s="129">
        <v>57.0</v>
      </c>
      <c r="B61" s="133"/>
      <c r="C61" s="133"/>
      <c r="D61" s="132">
        <v>0.0</v>
      </c>
      <c r="E61" s="132">
        <v>0.0</v>
      </c>
      <c r="F61" s="133"/>
      <c r="G61" s="133"/>
      <c r="H61" s="133"/>
      <c r="I61" s="133"/>
      <c r="J61" s="134">
        <f t="shared" si="1"/>
        <v>0</v>
      </c>
    </row>
    <row r="62">
      <c r="A62" s="129">
        <v>58.0</v>
      </c>
      <c r="B62" s="133"/>
      <c r="C62" s="133"/>
      <c r="D62" s="132">
        <v>0.0</v>
      </c>
      <c r="E62" s="132">
        <v>0.0</v>
      </c>
      <c r="F62" s="133"/>
      <c r="G62" s="133"/>
      <c r="H62" s="133"/>
      <c r="I62" s="133"/>
      <c r="J62" s="134">
        <f t="shared" si="1"/>
        <v>0</v>
      </c>
    </row>
    <row r="63">
      <c r="A63" s="129">
        <v>59.0</v>
      </c>
      <c r="B63" s="133"/>
      <c r="C63" s="133"/>
      <c r="D63" s="132">
        <v>0.0</v>
      </c>
      <c r="E63" s="132">
        <v>0.0</v>
      </c>
      <c r="F63" s="133"/>
      <c r="G63" s="133"/>
      <c r="H63" s="133"/>
      <c r="I63" s="133"/>
      <c r="J63" s="134">
        <f t="shared" si="1"/>
        <v>0</v>
      </c>
    </row>
    <row r="64">
      <c r="A64" s="129">
        <v>60.0</v>
      </c>
      <c r="B64" s="133"/>
      <c r="C64" s="133"/>
      <c r="D64" s="132">
        <v>0.0</v>
      </c>
      <c r="E64" s="132">
        <v>0.0</v>
      </c>
      <c r="F64" s="133"/>
      <c r="G64" s="133"/>
      <c r="H64" s="133"/>
      <c r="I64" s="133"/>
      <c r="J64" s="134">
        <f t="shared" si="1"/>
        <v>0</v>
      </c>
    </row>
    <row r="65">
      <c r="A65" s="129">
        <v>61.0</v>
      </c>
      <c r="B65" s="133"/>
      <c r="C65" s="133"/>
      <c r="D65" s="132">
        <v>0.0</v>
      </c>
      <c r="E65" s="132">
        <v>0.0</v>
      </c>
      <c r="F65" s="133"/>
      <c r="G65" s="133"/>
      <c r="H65" s="133"/>
      <c r="I65" s="133"/>
      <c r="J65" s="134">
        <f t="shared" si="1"/>
        <v>0</v>
      </c>
    </row>
    <row r="66">
      <c r="A66" s="129">
        <v>62.0</v>
      </c>
      <c r="B66" s="133"/>
      <c r="C66" s="133"/>
      <c r="D66" s="132">
        <v>0.0</v>
      </c>
      <c r="E66" s="132">
        <v>0.0</v>
      </c>
      <c r="F66" s="133"/>
      <c r="G66" s="133"/>
      <c r="H66" s="133"/>
      <c r="I66" s="133"/>
      <c r="J66" s="134">
        <f t="shared" si="1"/>
        <v>0</v>
      </c>
    </row>
    <row r="67">
      <c r="A67" s="129">
        <v>63.0</v>
      </c>
      <c r="B67" s="133"/>
      <c r="C67" s="133"/>
      <c r="D67" s="132">
        <v>0.0</v>
      </c>
      <c r="E67" s="132">
        <v>0.0</v>
      </c>
      <c r="F67" s="133"/>
      <c r="G67" s="133"/>
      <c r="H67" s="133"/>
      <c r="I67" s="133"/>
      <c r="J67" s="134">
        <f t="shared" si="1"/>
        <v>0</v>
      </c>
    </row>
    <row r="68">
      <c r="A68" s="129">
        <v>64.0</v>
      </c>
      <c r="B68" s="133"/>
      <c r="C68" s="133"/>
      <c r="D68" s="132">
        <v>0.0</v>
      </c>
      <c r="E68" s="132">
        <v>0.0</v>
      </c>
      <c r="F68" s="133"/>
      <c r="G68" s="133"/>
      <c r="H68" s="133"/>
      <c r="I68" s="133"/>
      <c r="J68" s="134">
        <f t="shared" si="1"/>
        <v>0</v>
      </c>
    </row>
    <row r="69">
      <c r="A69" s="129">
        <v>65.0</v>
      </c>
      <c r="B69" s="133"/>
      <c r="C69" s="133"/>
      <c r="D69" s="132">
        <v>0.0</v>
      </c>
      <c r="E69" s="132">
        <v>0.0</v>
      </c>
      <c r="F69" s="133"/>
      <c r="G69" s="133"/>
      <c r="H69" s="133"/>
      <c r="I69" s="133"/>
      <c r="J69" s="134">
        <f t="shared" si="1"/>
        <v>0</v>
      </c>
    </row>
    <row r="70">
      <c r="A70" s="129">
        <v>66.0</v>
      </c>
      <c r="B70" s="133"/>
      <c r="C70" s="133"/>
      <c r="D70" s="132">
        <v>0.0</v>
      </c>
      <c r="E70" s="132">
        <v>0.0</v>
      </c>
      <c r="F70" s="133"/>
      <c r="G70" s="133"/>
      <c r="H70" s="133"/>
      <c r="I70" s="133"/>
      <c r="J70" s="134">
        <f t="shared" si="1"/>
        <v>0</v>
      </c>
    </row>
    <row r="71">
      <c r="A71" s="129">
        <v>67.0</v>
      </c>
      <c r="B71" s="133"/>
      <c r="C71" s="133"/>
      <c r="D71" s="132">
        <v>0.0</v>
      </c>
      <c r="E71" s="132">
        <v>0.0</v>
      </c>
      <c r="F71" s="133"/>
      <c r="G71" s="133"/>
      <c r="H71" s="133"/>
      <c r="I71" s="133"/>
      <c r="J71" s="134">
        <f t="shared" si="1"/>
        <v>0</v>
      </c>
    </row>
    <row r="72">
      <c r="A72" s="129">
        <v>68.0</v>
      </c>
      <c r="B72" s="133"/>
      <c r="C72" s="133"/>
      <c r="D72" s="132">
        <v>0.0</v>
      </c>
      <c r="E72" s="132">
        <v>0.0</v>
      </c>
      <c r="F72" s="133"/>
      <c r="G72" s="133"/>
      <c r="H72" s="133"/>
      <c r="I72" s="133"/>
      <c r="J72" s="134">
        <f t="shared" si="1"/>
        <v>0</v>
      </c>
    </row>
    <row r="73">
      <c r="A73" s="129">
        <v>69.0</v>
      </c>
      <c r="B73" s="133"/>
      <c r="C73" s="133"/>
      <c r="D73" s="132">
        <v>0.0</v>
      </c>
      <c r="E73" s="132">
        <v>0.0</v>
      </c>
      <c r="F73" s="133"/>
      <c r="G73" s="133"/>
      <c r="H73" s="133"/>
      <c r="I73" s="133"/>
      <c r="J73" s="134">
        <f t="shared" si="1"/>
        <v>0</v>
      </c>
    </row>
    <row r="74">
      <c r="A74" s="129">
        <v>70.0</v>
      </c>
      <c r="B74" s="133"/>
      <c r="C74" s="133"/>
      <c r="D74" s="132">
        <v>0.0</v>
      </c>
      <c r="E74" s="132">
        <v>0.0</v>
      </c>
      <c r="F74" s="133"/>
      <c r="G74" s="133"/>
      <c r="H74" s="133"/>
      <c r="I74" s="133"/>
      <c r="J74" s="134">
        <f t="shared" si="1"/>
        <v>0</v>
      </c>
    </row>
    <row r="75">
      <c r="A75" s="129">
        <v>71.0</v>
      </c>
      <c r="B75" s="133"/>
      <c r="C75" s="133"/>
      <c r="D75" s="132">
        <v>0.0</v>
      </c>
      <c r="E75" s="132">
        <v>0.0</v>
      </c>
      <c r="F75" s="133"/>
      <c r="G75" s="133"/>
      <c r="H75" s="133"/>
      <c r="I75" s="133"/>
      <c r="J75" s="134">
        <f t="shared" si="1"/>
        <v>0</v>
      </c>
    </row>
    <row r="76">
      <c r="A76" s="129">
        <v>72.0</v>
      </c>
      <c r="B76" s="133"/>
      <c r="C76" s="133"/>
      <c r="D76" s="132">
        <v>0.0</v>
      </c>
      <c r="E76" s="132">
        <v>0.0</v>
      </c>
      <c r="F76" s="133"/>
      <c r="G76" s="133"/>
      <c r="H76" s="133"/>
      <c r="I76" s="133"/>
      <c r="J76" s="134">
        <f t="shared" si="1"/>
        <v>0</v>
      </c>
    </row>
    <row r="77">
      <c r="A77" s="129">
        <v>73.0</v>
      </c>
      <c r="B77" s="133"/>
      <c r="C77" s="133"/>
      <c r="D77" s="132">
        <v>0.0</v>
      </c>
      <c r="E77" s="132">
        <v>0.0</v>
      </c>
      <c r="F77" s="133"/>
      <c r="G77" s="133"/>
      <c r="H77" s="133"/>
      <c r="I77" s="133"/>
      <c r="J77" s="134">
        <f t="shared" si="1"/>
        <v>0</v>
      </c>
    </row>
    <row r="78">
      <c r="A78" s="129">
        <v>74.0</v>
      </c>
      <c r="B78" s="133"/>
      <c r="C78" s="133"/>
      <c r="D78" s="132">
        <v>0.0</v>
      </c>
      <c r="E78" s="132">
        <v>0.0</v>
      </c>
      <c r="F78" s="133"/>
      <c r="G78" s="133"/>
      <c r="H78" s="133"/>
      <c r="I78" s="133"/>
      <c r="J78" s="134">
        <f t="shared" si="1"/>
        <v>0</v>
      </c>
    </row>
    <row r="79">
      <c r="A79" s="129">
        <v>75.0</v>
      </c>
      <c r="B79" s="133"/>
      <c r="C79" s="133"/>
      <c r="D79" s="132">
        <v>0.0</v>
      </c>
      <c r="E79" s="132">
        <v>0.0</v>
      </c>
      <c r="F79" s="133"/>
      <c r="G79" s="133"/>
      <c r="H79" s="133"/>
      <c r="I79" s="133"/>
      <c r="J79" s="134">
        <f t="shared" si="1"/>
        <v>0</v>
      </c>
    </row>
    <row r="80">
      <c r="A80" s="129">
        <v>76.0</v>
      </c>
      <c r="B80" s="133"/>
      <c r="C80" s="133"/>
      <c r="D80" s="132">
        <v>0.0</v>
      </c>
      <c r="E80" s="132">
        <v>0.0</v>
      </c>
      <c r="F80" s="133"/>
      <c r="G80" s="133"/>
      <c r="H80" s="133"/>
      <c r="I80" s="133"/>
      <c r="J80" s="134">
        <f t="shared" si="1"/>
        <v>0</v>
      </c>
    </row>
    <row r="81">
      <c r="A81" s="129">
        <v>77.0</v>
      </c>
      <c r="B81" s="133"/>
      <c r="C81" s="133"/>
      <c r="D81" s="132">
        <v>0.0</v>
      </c>
      <c r="E81" s="132">
        <v>0.0</v>
      </c>
      <c r="F81" s="133"/>
      <c r="G81" s="133"/>
      <c r="H81" s="133"/>
      <c r="I81" s="133"/>
      <c r="J81" s="134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18.5"/>
    <col customWidth="1" min="8" max="8" width="14.88"/>
    <col customWidth="1" min="9" max="11" width="14.0"/>
    <col customWidth="1" min="12" max="12" width="11.88"/>
    <col customWidth="1" min="13" max="13" width="31.13"/>
    <col customWidth="1" min="14" max="14" width="18.5"/>
    <col customWidth="1" min="15" max="15" width="17.88"/>
  </cols>
  <sheetData>
    <row r="1">
      <c r="A1" s="158" t="s">
        <v>162</v>
      </c>
      <c r="B1" s="120"/>
      <c r="C1" s="120"/>
      <c r="D1" s="120"/>
      <c r="E1" s="120"/>
      <c r="F1" s="120"/>
      <c r="G1" s="120"/>
      <c r="H1" s="120"/>
      <c r="I1" s="120"/>
      <c r="J1" s="120"/>
      <c r="K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163</v>
      </c>
      <c r="H3" s="162" t="s">
        <v>164</v>
      </c>
      <c r="I3" s="182" t="s">
        <v>165</v>
      </c>
      <c r="J3" s="183" t="s">
        <v>166</v>
      </c>
      <c r="K3" s="175" t="s">
        <v>126</v>
      </c>
      <c r="L3" s="184" t="s">
        <v>167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185"/>
    </row>
    <row r="5">
      <c r="A5" s="164">
        <v>1.0</v>
      </c>
      <c r="B5" s="165">
        <v>46119.0</v>
      </c>
      <c r="C5" s="172"/>
      <c r="D5" s="167">
        <v>0.6715277777777777</v>
      </c>
      <c r="E5" s="167">
        <v>0.6736111111111112</v>
      </c>
      <c r="F5" s="166" t="s">
        <v>146</v>
      </c>
      <c r="G5" s="166">
        <v>9.91</v>
      </c>
      <c r="H5" s="166">
        <v>36.1</v>
      </c>
      <c r="I5" s="186">
        <v>7.944</v>
      </c>
      <c r="J5" s="186">
        <v>9.6</v>
      </c>
      <c r="K5" s="187">
        <f t="shared" ref="K5:K81" si="1">E5-D5</f>
        <v>0.002083333333</v>
      </c>
      <c r="L5" s="188" t="s">
        <v>168</v>
      </c>
      <c r="M5" s="189" t="s">
        <v>138</v>
      </c>
    </row>
    <row r="6">
      <c r="A6" s="164">
        <v>2.0</v>
      </c>
      <c r="B6" s="165">
        <v>46119.0</v>
      </c>
      <c r="C6" s="172"/>
      <c r="D6" s="167">
        <v>0.6770833333333334</v>
      </c>
      <c r="E6" s="167">
        <v>0.6791666666666667</v>
      </c>
      <c r="F6" s="166" t="s">
        <v>146</v>
      </c>
      <c r="G6" s="166">
        <v>9.9</v>
      </c>
      <c r="H6" s="166">
        <v>36.11</v>
      </c>
      <c r="I6" s="186">
        <v>7.952</v>
      </c>
      <c r="J6" s="186">
        <v>9.6</v>
      </c>
      <c r="K6" s="187">
        <f t="shared" si="1"/>
        <v>0.002083333333</v>
      </c>
      <c r="L6" s="188" t="s">
        <v>169</v>
      </c>
      <c r="M6" s="190">
        <f>COUNTIF(F5:F81,"OUI")</f>
        <v>0</v>
      </c>
      <c r="N6" s="109" t="s">
        <v>170</v>
      </c>
    </row>
    <row r="7">
      <c r="A7" s="164">
        <v>3.0</v>
      </c>
      <c r="B7" s="165">
        <v>46119.0</v>
      </c>
      <c r="C7" s="172"/>
      <c r="D7" s="167">
        <v>0.6979166666666666</v>
      </c>
      <c r="E7" s="191">
        <v>0.7083333333333334</v>
      </c>
      <c r="F7" s="166" t="s">
        <v>146</v>
      </c>
      <c r="G7" s="166">
        <v>9.898</v>
      </c>
      <c r="H7" s="166">
        <v>36.1</v>
      </c>
      <c r="I7" s="186">
        <v>7.955</v>
      </c>
      <c r="J7" s="186">
        <v>9.54</v>
      </c>
      <c r="K7" s="187">
        <f t="shared" si="1"/>
        <v>0.01041666667</v>
      </c>
      <c r="L7" s="192"/>
    </row>
    <row r="8">
      <c r="A8" s="164">
        <v>4.0</v>
      </c>
      <c r="B8" s="165">
        <v>46119.0</v>
      </c>
      <c r="C8" s="172"/>
      <c r="D8" s="167">
        <v>0.70625</v>
      </c>
      <c r="E8" s="167">
        <v>0.7152777777777778</v>
      </c>
      <c r="F8" s="166" t="s">
        <v>146</v>
      </c>
      <c r="G8" s="166">
        <v>0.0</v>
      </c>
      <c r="H8" s="166">
        <v>0.0</v>
      </c>
      <c r="I8" s="186">
        <v>0.0</v>
      </c>
      <c r="J8" s="186">
        <v>0.0</v>
      </c>
      <c r="K8" s="187">
        <f t="shared" si="1"/>
        <v>0.009027777778</v>
      </c>
      <c r="L8" s="188" t="s">
        <v>171</v>
      </c>
      <c r="M8" s="189" t="s">
        <v>139</v>
      </c>
    </row>
    <row r="9">
      <c r="A9" s="164">
        <v>5.0</v>
      </c>
      <c r="B9" s="165">
        <v>46119.0</v>
      </c>
      <c r="C9" s="172"/>
      <c r="D9" s="167">
        <v>0.7166666666666667</v>
      </c>
      <c r="E9" s="167">
        <v>0.7215277777777778</v>
      </c>
      <c r="F9" s="166" t="s">
        <v>146</v>
      </c>
      <c r="G9" s="166">
        <v>9.886</v>
      </c>
      <c r="H9" s="166">
        <v>36.2</v>
      </c>
      <c r="I9" s="186">
        <v>7.993</v>
      </c>
      <c r="J9" s="186">
        <v>9.57</v>
      </c>
      <c r="K9" s="187">
        <f t="shared" si="1"/>
        <v>0.004861111111</v>
      </c>
      <c r="L9" s="192"/>
      <c r="M9" s="193">
        <f>COUNTIF(F5:F84,"NON")+M6</f>
        <v>7</v>
      </c>
    </row>
    <row r="10">
      <c r="A10" s="164">
        <v>6.0</v>
      </c>
      <c r="B10" s="165">
        <v>46119.0</v>
      </c>
      <c r="C10" s="172"/>
      <c r="D10" s="167">
        <v>0.71875</v>
      </c>
      <c r="E10" s="167">
        <v>0.725</v>
      </c>
      <c r="F10" s="166" t="s">
        <v>146</v>
      </c>
      <c r="G10" s="166">
        <v>9.888</v>
      </c>
      <c r="H10" s="166">
        <v>36.21</v>
      </c>
      <c r="I10" s="186">
        <v>7.932</v>
      </c>
      <c r="J10" s="186">
        <v>9.56</v>
      </c>
      <c r="K10" s="187">
        <f t="shared" si="1"/>
        <v>0.00625</v>
      </c>
      <c r="L10" s="188" t="s">
        <v>172</v>
      </c>
    </row>
    <row r="11">
      <c r="A11" s="164">
        <v>7.0</v>
      </c>
      <c r="B11" s="165">
        <v>46119.0</v>
      </c>
      <c r="C11" s="172"/>
      <c r="D11" s="167">
        <v>0.7291666666666666</v>
      </c>
      <c r="E11" s="167">
        <v>0.7333333333333333</v>
      </c>
      <c r="F11" s="166" t="s">
        <v>146</v>
      </c>
      <c r="G11" s="166">
        <v>9.895</v>
      </c>
      <c r="H11" s="166">
        <v>36.175</v>
      </c>
      <c r="I11" s="186">
        <v>7.936</v>
      </c>
      <c r="J11" s="186">
        <v>9.575</v>
      </c>
      <c r="K11" s="187">
        <f t="shared" si="1"/>
        <v>0.004166666667</v>
      </c>
      <c r="L11" s="192"/>
    </row>
    <row r="12">
      <c r="A12" s="164">
        <v>8.0</v>
      </c>
      <c r="B12" s="165"/>
      <c r="C12" s="172"/>
      <c r="D12" s="171">
        <v>0.0</v>
      </c>
      <c r="E12" s="171">
        <v>0.0</v>
      </c>
      <c r="F12" s="166"/>
      <c r="G12" s="172"/>
      <c r="H12" s="172"/>
      <c r="I12" s="194"/>
      <c r="J12" s="194"/>
      <c r="K12" s="187">
        <f t="shared" si="1"/>
        <v>0</v>
      </c>
      <c r="L12" s="192"/>
      <c r="P12" s="176"/>
    </row>
    <row r="13">
      <c r="A13" s="164">
        <v>9.0</v>
      </c>
      <c r="B13" s="165"/>
      <c r="C13" s="172"/>
      <c r="D13" s="171">
        <v>0.0</v>
      </c>
      <c r="E13" s="171">
        <v>0.0</v>
      </c>
      <c r="F13" s="172"/>
      <c r="G13" s="172"/>
      <c r="H13" s="172"/>
      <c r="I13" s="194"/>
      <c r="J13" s="194"/>
      <c r="K13" s="187">
        <f t="shared" si="1"/>
        <v>0</v>
      </c>
      <c r="L13" s="192"/>
      <c r="P13" s="176"/>
    </row>
    <row r="14">
      <c r="A14" s="164">
        <v>10.0</v>
      </c>
      <c r="B14" s="165"/>
      <c r="C14" s="172"/>
      <c r="D14" s="171">
        <v>0.0</v>
      </c>
      <c r="E14" s="171">
        <v>0.0</v>
      </c>
      <c r="F14" s="172"/>
      <c r="G14" s="172"/>
      <c r="H14" s="172"/>
      <c r="I14" s="195"/>
      <c r="J14" s="194"/>
      <c r="K14" s="187">
        <f t="shared" si="1"/>
        <v>0</v>
      </c>
      <c r="L14" s="192"/>
      <c r="P14" s="176"/>
    </row>
    <row r="15">
      <c r="A15" s="164">
        <v>11.0</v>
      </c>
      <c r="B15" s="165"/>
      <c r="C15" s="172"/>
      <c r="D15" s="171">
        <v>0.0</v>
      </c>
      <c r="E15" s="171">
        <v>0.0</v>
      </c>
      <c r="F15" s="172"/>
      <c r="G15" s="172"/>
      <c r="H15" s="196"/>
      <c r="I15" s="192"/>
      <c r="J15" s="194"/>
      <c r="K15" s="187">
        <f t="shared" si="1"/>
        <v>0</v>
      </c>
      <c r="L15" s="192"/>
      <c r="M15" s="176"/>
      <c r="N15" s="176"/>
      <c r="O15" s="176"/>
      <c r="P15" s="176"/>
    </row>
    <row r="16">
      <c r="A16" s="164">
        <v>12.0</v>
      </c>
      <c r="B16" s="165"/>
      <c r="C16" s="172"/>
      <c r="D16" s="171">
        <v>0.0</v>
      </c>
      <c r="E16" s="171">
        <v>0.0</v>
      </c>
      <c r="F16" s="172"/>
      <c r="G16" s="172"/>
      <c r="H16" s="196"/>
      <c r="I16" s="197"/>
      <c r="J16" s="194"/>
      <c r="K16" s="187">
        <f t="shared" si="1"/>
        <v>0</v>
      </c>
      <c r="L16" s="192"/>
      <c r="M16" s="198" t="s">
        <v>129</v>
      </c>
      <c r="N16" s="73" t="s">
        <v>130</v>
      </c>
      <c r="O16" s="73" t="s">
        <v>131</v>
      </c>
      <c r="P16" s="73" t="s">
        <v>132</v>
      </c>
      <c r="Q16" s="73" t="s">
        <v>133</v>
      </c>
    </row>
    <row r="17">
      <c r="A17" s="164">
        <v>13.0</v>
      </c>
      <c r="B17" s="165"/>
      <c r="C17" s="172"/>
      <c r="D17" s="171">
        <v>0.0</v>
      </c>
      <c r="E17" s="171">
        <v>0.0</v>
      </c>
      <c r="F17" s="172"/>
      <c r="G17" s="172"/>
      <c r="H17" s="172"/>
      <c r="I17" s="194"/>
      <c r="J17" s="194"/>
      <c r="K17" s="187">
        <f t="shared" si="1"/>
        <v>0</v>
      </c>
      <c r="L17" s="192"/>
      <c r="M17" s="199">
        <f>COUNTA(F5:F92)</f>
        <v>7</v>
      </c>
      <c r="N17" s="177">
        <f>COUNTIF(F5:F93,"non")</f>
        <v>7</v>
      </c>
      <c r="O17" s="177">
        <f>COUNTIF(F5:F92,"oui")</f>
        <v>0</v>
      </c>
      <c r="P17" s="177">
        <f>(M17-N17)/M17</f>
        <v>0</v>
      </c>
      <c r="Q17" s="139">
        <f>AVERAGEIF(K$5:K$200,"&lt;&gt;0")</f>
        <v>0.005555555556</v>
      </c>
    </row>
    <row r="18">
      <c r="A18" s="164">
        <v>14.0</v>
      </c>
      <c r="B18" s="165"/>
      <c r="C18" s="172"/>
      <c r="D18" s="171">
        <v>0.0</v>
      </c>
      <c r="E18" s="171">
        <v>0.0</v>
      </c>
      <c r="F18" s="172"/>
      <c r="G18" s="172"/>
      <c r="H18" s="172"/>
      <c r="I18" s="194"/>
      <c r="J18" s="194"/>
      <c r="K18" s="187">
        <f t="shared" si="1"/>
        <v>0</v>
      </c>
      <c r="L18" s="192"/>
    </row>
    <row r="19">
      <c r="A19" s="164">
        <v>15.0</v>
      </c>
      <c r="B19" s="165"/>
      <c r="C19" s="172"/>
      <c r="D19" s="171">
        <v>0.0</v>
      </c>
      <c r="E19" s="171">
        <v>0.0</v>
      </c>
      <c r="F19" s="172"/>
      <c r="G19" s="172"/>
      <c r="H19" s="172"/>
      <c r="I19" s="194"/>
      <c r="J19" s="194"/>
      <c r="K19" s="187">
        <f t="shared" si="1"/>
        <v>0</v>
      </c>
      <c r="L19" s="192"/>
    </row>
    <row r="20">
      <c r="A20" s="164">
        <v>16.0</v>
      </c>
      <c r="B20" s="165"/>
      <c r="C20" s="172"/>
      <c r="D20" s="171">
        <v>0.0</v>
      </c>
      <c r="E20" s="171">
        <v>0.0</v>
      </c>
      <c r="F20" s="172"/>
      <c r="G20" s="172"/>
      <c r="H20" s="172"/>
      <c r="I20" s="194"/>
      <c r="J20" s="194"/>
      <c r="K20" s="187">
        <f t="shared" si="1"/>
        <v>0</v>
      </c>
      <c r="L20" s="192"/>
    </row>
    <row r="21">
      <c r="A21" s="164">
        <v>17.0</v>
      </c>
      <c r="B21" s="165"/>
      <c r="C21" s="172"/>
      <c r="D21" s="171">
        <v>0.0</v>
      </c>
      <c r="E21" s="171">
        <v>0.0</v>
      </c>
      <c r="F21" s="172"/>
      <c r="G21" s="172"/>
      <c r="H21" s="172"/>
      <c r="I21" s="194"/>
      <c r="J21" s="194"/>
      <c r="K21" s="187">
        <f t="shared" si="1"/>
        <v>0</v>
      </c>
      <c r="L21" s="192"/>
    </row>
    <row r="22">
      <c r="A22" s="164">
        <v>18.0</v>
      </c>
      <c r="B22" s="165"/>
      <c r="C22" s="172"/>
      <c r="D22" s="171">
        <v>0.0</v>
      </c>
      <c r="E22" s="171">
        <v>0.0</v>
      </c>
      <c r="F22" s="172"/>
      <c r="G22" s="172"/>
      <c r="H22" s="172"/>
      <c r="I22" s="194"/>
      <c r="J22" s="194"/>
      <c r="K22" s="187">
        <f t="shared" si="1"/>
        <v>0</v>
      </c>
      <c r="L22" s="192"/>
    </row>
    <row r="23">
      <c r="A23" s="164">
        <v>19.0</v>
      </c>
      <c r="B23" s="165"/>
      <c r="C23" s="172"/>
      <c r="D23" s="171">
        <v>0.0</v>
      </c>
      <c r="E23" s="171">
        <v>0.0</v>
      </c>
      <c r="F23" s="172"/>
      <c r="G23" s="172"/>
      <c r="H23" s="172"/>
      <c r="I23" s="194"/>
      <c r="J23" s="194"/>
      <c r="K23" s="187">
        <f t="shared" si="1"/>
        <v>0</v>
      </c>
      <c r="L23" s="192"/>
    </row>
    <row r="24">
      <c r="A24" s="164">
        <v>20.0</v>
      </c>
      <c r="B24" s="165"/>
      <c r="C24" s="172"/>
      <c r="D24" s="171">
        <v>0.0</v>
      </c>
      <c r="E24" s="171">
        <v>0.0</v>
      </c>
      <c r="F24" s="172"/>
      <c r="G24" s="172"/>
      <c r="H24" s="172"/>
      <c r="I24" s="194"/>
      <c r="J24" s="194"/>
      <c r="K24" s="187">
        <f t="shared" si="1"/>
        <v>0</v>
      </c>
      <c r="L24" s="192"/>
    </row>
    <row r="25">
      <c r="A25" s="164">
        <v>21.0</v>
      </c>
      <c r="B25" s="165"/>
      <c r="C25" s="172"/>
      <c r="D25" s="171">
        <v>0.0</v>
      </c>
      <c r="E25" s="171">
        <v>0.0</v>
      </c>
      <c r="F25" s="172"/>
      <c r="G25" s="172"/>
      <c r="H25" s="172"/>
      <c r="I25" s="194"/>
      <c r="J25" s="194"/>
      <c r="K25" s="187">
        <f t="shared" si="1"/>
        <v>0</v>
      </c>
      <c r="L25" s="192"/>
    </row>
    <row r="26">
      <c r="A26" s="164">
        <v>22.0</v>
      </c>
      <c r="B26" s="165"/>
      <c r="C26" s="172"/>
      <c r="D26" s="171">
        <v>0.0</v>
      </c>
      <c r="E26" s="171">
        <v>0.0</v>
      </c>
      <c r="F26" s="172"/>
      <c r="G26" s="172"/>
      <c r="H26" s="172"/>
      <c r="I26" s="194"/>
      <c r="J26" s="194"/>
      <c r="K26" s="187">
        <f t="shared" si="1"/>
        <v>0</v>
      </c>
      <c r="L26" s="192"/>
    </row>
    <row r="27">
      <c r="A27" s="164">
        <v>23.0</v>
      </c>
      <c r="B27" s="165"/>
      <c r="C27" s="172"/>
      <c r="D27" s="171">
        <v>0.0</v>
      </c>
      <c r="E27" s="171">
        <v>0.0</v>
      </c>
      <c r="F27" s="172"/>
      <c r="G27" s="172"/>
      <c r="H27" s="172"/>
      <c r="I27" s="194"/>
      <c r="J27" s="194"/>
      <c r="K27" s="187">
        <f t="shared" si="1"/>
        <v>0</v>
      </c>
      <c r="L27" s="192"/>
    </row>
    <row r="28">
      <c r="A28" s="164">
        <v>24.0</v>
      </c>
      <c r="B28" s="165"/>
      <c r="C28" s="172"/>
      <c r="D28" s="171">
        <v>0.0</v>
      </c>
      <c r="E28" s="171">
        <v>0.0</v>
      </c>
      <c r="F28" s="172"/>
      <c r="G28" s="172"/>
      <c r="H28" s="172"/>
      <c r="I28" s="194"/>
      <c r="J28" s="194"/>
      <c r="K28" s="187">
        <f t="shared" si="1"/>
        <v>0</v>
      </c>
      <c r="L28" s="192"/>
    </row>
    <row r="29">
      <c r="A29" s="164">
        <v>25.0</v>
      </c>
      <c r="B29" s="165"/>
      <c r="C29" s="172"/>
      <c r="D29" s="171">
        <v>0.0</v>
      </c>
      <c r="E29" s="171">
        <v>0.0</v>
      </c>
      <c r="F29" s="172"/>
      <c r="G29" s="172"/>
      <c r="H29" s="172"/>
      <c r="I29" s="194"/>
      <c r="J29" s="194"/>
      <c r="K29" s="187">
        <f t="shared" si="1"/>
        <v>0</v>
      </c>
      <c r="L29" s="192"/>
    </row>
    <row r="30">
      <c r="A30" s="164">
        <v>26.0</v>
      </c>
      <c r="B30" s="165"/>
      <c r="C30" s="172"/>
      <c r="D30" s="171">
        <v>0.0</v>
      </c>
      <c r="E30" s="171">
        <v>0.0</v>
      </c>
      <c r="F30" s="172"/>
      <c r="G30" s="172"/>
      <c r="H30" s="172"/>
      <c r="I30" s="194"/>
      <c r="J30" s="194"/>
      <c r="K30" s="187">
        <f t="shared" si="1"/>
        <v>0</v>
      </c>
      <c r="L30" s="192"/>
    </row>
    <row r="31">
      <c r="A31" s="164">
        <v>27.0</v>
      </c>
      <c r="B31" s="165"/>
      <c r="C31" s="172"/>
      <c r="D31" s="171">
        <v>0.0</v>
      </c>
      <c r="E31" s="171">
        <v>0.0</v>
      </c>
      <c r="F31" s="172"/>
      <c r="G31" s="172"/>
      <c r="H31" s="172"/>
      <c r="I31" s="194"/>
      <c r="J31" s="194"/>
      <c r="K31" s="187">
        <f t="shared" si="1"/>
        <v>0</v>
      </c>
      <c r="L31" s="192"/>
    </row>
    <row r="32">
      <c r="A32" s="164">
        <v>28.0</v>
      </c>
      <c r="B32" s="165"/>
      <c r="C32" s="172"/>
      <c r="D32" s="171">
        <v>0.0</v>
      </c>
      <c r="E32" s="171">
        <v>0.0</v>
      </c>
      <c r="F32" s="172"/>
      <c r="G32" s="172"/>
      <c r="H32" s="172"/>
      <c r="I32" s="194"/>
      <c r="J32" s="194"/>
      <c r="K32" s="187">
        <f t="shared" si="1"/>
        <v>0</v>
      </c>
      <c r="L32" s="192"/>
    </row>
    <row r="33">
      <c r="A33" s="164">
        <v>29.0</v>
      </c>
      <c r="B33" s="165"/>
      <c r="C33" s="172"/>
      <c r="D33" s="171">
        <v>0.0</v>
      </c>
      <c r="E33" s="171">
        <v>0.0</v>
      </c>
      <c r="F33" s="172"/>
      <c r="G33" s="172"/>
      <c r="H33" s="172"/>
      <c r="I33" s="194"/>
      <c r="J33" s="194"/>
      <c r="K33" s="187">
        <f t="shared" si="1"/>
        <v>0</v>
      </c>
      <c r="L33" s="192"/>
    </row>
    <row r="34">
      <c r="A34" s="164">
        <v>30.0</v>
      </c>
      <c r="B34" s="165"/>
      <c r="C34" s="172"/>
      <c r="D34" s="171">
        <v>0.0</v>
      </c>
      <c r="E34" s="171">
        <v>0.0</v>
      </c>
      <c r="F34" s="172"/>
      <c r="G34" s="172"/>
      <c r="H34" s="172"/>
      <c r="I34" s="194"/>
      <c r="J34" s="194"/>
      <c r="K34" s="187">
        <f t="shared" si="1"/>
        <v>0</v>
      </c>
      <c r="L34" s="192"/>
    </row>
    <row r="35">
      <c r="A35" s="164">
        <v>31.0</v>
      </c>
      <c r="B35" s="165"/>
      <c r="C35" s="172"/>
      <c r="D35" s="171">
        <v>0.0</v>
      </c>
      <c r="E35" s="171">
        <v>0.0</v>
      </c>
      <c r="F35" s="172"/>
      <c r="G35" s="172"/>
      <c r="H35" s="172"/>
      <c r="I35" s="194"/>
      <c r="J35" s="194"/>
      <c r="K35" s="187">
        <f t="shared" si="1"/>
        <v>0</v>
      </c>
      <c r="L35" s="192"/>
    </row>
    <row r="36">
      <c r="A36" s="164">
        <v>32.0</v>
      </c>
      <c r="B36" s="165"/>
      <c r="C36" s="172"/>
      <c r="D36" s="171">
        <v>0.0</v>
      </c>
      <c r="E36" s="171">
        <v>0.0</v>
      </c>
      <c r="F36" s="172"/>
      <c r="G36" s="172"/>
      <c r="H36" s="172"/>
      <c r="I36" s="194"/>
      <c r="J36" s="194"/>
      <c r="K36" s="187">
        <f t="shared" si="1"/>
        <v>0</v>
      </c>
      <c r="L36" s="192"/>
    </row>
    <row r="37">
      <c r="A37" s="164">
        <v>33.0</v>
      </c>
      <c r="B37" s="165"/>
      <c r="C37" s="172"/>
      <c r="D37" s="171">
        <v>0.0</v>
      </c>
      <c r="E37" s="171">
        <v>0.0</v>
      </c>
      <c r="F37" s="172"/>
      <c r="G37" s="172"/>
      <c r="H37" s="172"/>
      <c r="I37" s="194"/>
      <c r="J37" s="194"/>
      <c r="K37" s="187">
        <f t="shared" si="1"/>
        <v>0</v>
      </c>
      <c r="L37" s="192"/>
    </row>
    <row r="38">
      <c r="A38" s="164">
        <v>34.0</v>
      </c>
      <c r="B38" s="165"/>
      <c r="C38" s="172"/>
      <c r="D38" s="171">
        <v>0.0</v>
      </c>
      <c r="E38" s="171">
        <v>0.0</v>
      </c>
      <c r="F38" s="172"/>
      <c r="G38" s="172"/>
      <c r="H38" s="172"/>
      <c r="I38" s="194"/>
      <c r="J38" s="194"/>
      <c r="K38" s="187">
        <f t="shared" si="1"/>
        <v>0</v>
      </c>
      <c r="L38" s="192"/>
    </row>
    <row r="39">
      <c r="A39" s="164">
        <v>35.0</v>
      </c>
      <c r="B39" s="165"/>
      <c r="C39" s="172"/>
      <c r="D39" s="171">
        <v>0.0</v>
      </c>
      <c r="E39" s="171">
        <v>0.0</v>
      </c>
      <c r="F39" s="172"/>
      <c r="G39" s="172"/>
      <c r="H39" s="172"/>
      <c r="I39" s="194"/>
      <c r="J39" s="194"/>
      <c r="K39" s="187">
        <f t="shared" si="1"/>
        <v>0</v>
      </c>
      <c r="L39" s="192"/>
    </row>
    <row r="40">
      <c r="A40" s="164">
        <v>36.0</v>
      </c>
      <c r="B40" s="165"/>
      <c r="C40" s="172"/>
      <c r="D40" s="171">
        <v>0.0</v>
      </c>
      <c r="E40" s="171">
        <v>0.0</v>
      </c>
      <c r="F40" s="172"/>
      <c r="G40" s="172"/>
      <c r="H40" s="172"/>
      <c r="I40" s="194"/>
      <c r="J40" s="194"/>
      <c r="K40" s="187">
        <f t="shared" si="1"/>
        <v>0</v>
      </c>
      <c r="L40" s="192"/>
    </row>
    <row r="41">
      <c r="A41" s="164">
        <v>37.0</v>
      </c>
      <c r="B41" s="165"/>
      <c r="C41" s="172"/>
      <c r="D41" s="171">
        <v>0.0</v>
      </c>
      <c r="E41" s="171">
        <v>0.0</v>
      </c>
      <c r="F41" s="172"/>
      <c r="G41" s="172"/>
      <c r="H41" s="172"/>
      <c r="I41" s="194"/>
      <c r="J41" s="194"/>
      <c r="K41" s="187">
        <f t="shared" si="1"/>
        <v>0</v>
      </c>
      <c r="L41" s="192"/>
    </row>
    <row r="42">
      <c r="A42" s="164">
        <v>38.0</v>
      </c>
      <c r="B42" s="165"/>
      <c r="C42" s="172"/>
      <c r="D42" s="171">
        <v>0.0</v>
      </c>
      <c r="E42" s="171">
        <v>0.0</v>
      </c>
      <c r="F42" s="172"/>
      <c r="G42" s="172"/>
      <c r="H42" s="172"/>
      <c r="I42" s="194"/>
      <c r="J42" s="194"/>
      <c r="K42" s="187">
        <f t="shared" si="1"/>
        <v>0</v>
      </c>
      <c r="L42" s="192"/>
    </row>
    <row r="43">
      <c r="A43" s="164">
        <v>39.0</v>
      </c>
      <c r="B43" s="165"/>
      <c r="C43" s="172"/>
      <c r="D43" s="171">
        <v>0.0</v>
      </c>
      <c r="E43" s="171">
        <v>0.0</v>
      </c>
      <c r="F43" s="172"/>
      <c r="G43" s="172"/>
      <c r="H43" s="172"/>
      <c r="I43" s="194"/>
      <c r="J43" s="194"/>
      <c r="K43" s="187">
        <f t="shared" si="1"/>
        <v>0</v>
      </c>
      <c r="L43" s="192"/>
    </row>
    <row r="44">
      <c r="A44" s="164">
        <v>40.0</v>
      </c>
      <c r="B44" s="165"/>
      <c r="C44" s="172"/>
      <c r="D44" s="171">
        <v>0.0</v>
      </c>
      <c r="E44" s="171">
        <v>0.0</v>
      </c>
      <c r="F44" s="172"/>
      <c r="G44" s="172"/>
      <c r="H44" s="172"/>
      <c r="I44" s="194"/>
      <c r="J44" s="194"/>
      <c r="K44" s="187">
        <f t="shared" si="1"/>
        <v>0</v>
      </c>
      <c r="L44" s="192"/>
    </row>
    <row r="45">
      <c r="A45" s="164">
        <v>41.0</v>
      </c>
      <c r="B45" s="165"/>
      <c r="C45" s="172"/>
      <c r="D45" s="171">
        <v>0.0</v>
      </c>
      <c r="E45" s="171">
        <v>0.0</v>
      </c>
      <c r="F45" s="172"/>
      <c r="G45" s="172"/>
      <c r="H45" s="172"/>
      <c r="I45" s="194"/>
      <c r="J45" s="194"/>
      <c r="K45" s="187">
        <f t="shared" si="1"/>
        <v>0</v>
      </c>
      <c r="L45" s="192"/>
    </row>
    <row r="46">
      <c r="A46" s="164">
        <v>42.0</v>
      </c>
      <c r="B46" s="165"/>
      <c r="C46" s="172"/>
      <c r="D46" s="171">
        <v>0.0</v>
      </c>
      <c r="E46" s="171">
        <v>0.0</v>
      </c>
      <c r="F46" s="172"/>
      <c r="G46" s="172"/>
      <c r="H46" s="172"/>
      <c r="I46" s="194"/>
      <c r="J46" s="194"/>
      <c r="K46" s="187">
        <f t="shared" si="1"/>
        <v>0</v>
      </c>
      <c r="L46" s="192"/>
    </row>
    <row r="47">
      <c r="A47" s="164">
        <v>43.0</v>
      </c>
      <c r="B47" s="165"/>
      <c r="C47" s="172"/>
      <c r="D47" s="171">
        <v>0.0</v>
      </c>
      <c r="E47" s="171">
        <v>0.0</v>
      </c>
      <c r="F47" s="172"/>
      <c r="G47" s="172"/>
      <c r="H47" s="172"/>
      <c r="I47" s="194"/>
      <c r="J47" s="194"/>
      <c r="K47" s="187">
        <f t="shared" si="1"/>
        <v>0</v>
      </c>
      <c r="L47" s="192"/>
    </row>
    <row r="48">
      <c r="A48" s="164">
        <v>44.0</v>
      </c>
      <c r="B48" s="165"/>
      <c r="C48" s="172"/>
      <c r="D48" s="171">
        <v>0.0</v>
      </c>
      <c r="E48" s="171">
        <v>0.0</v>
      </c>
      <c r="F48" s="172"/>
      <c r="G48" s="172"/>
      <c r="H48" s="172"/>
      <c r="I48" s="194"/>
      <c r="J48" s="194"/>
      <c r="K48" s="187">
        <f t="shared" si="1"/>
        <v>0</v>
      </c>
      <c r="L48" s="192"/>
    </row>
    <row r="49">
      <c r="A49" s="164">
        <v>45.0</v>
      </c>
      <c r="B49" s="165"/>
      <c r="C49" s="172"/>
      <c r="D49" s="171">
        <v>0.0</v>
      </c>
      <c r="E49" s="171">
        <v>0.0</v>
      </c>
      <c r="F49" s="172"/>
      <c r="G49" s="172"/>
      <c r="H49" s="172"/>
      <c r="I49" s="194"/>
      <c r="J49" s="194"/>
      <c r="K49" s="187">
        <f t="shared" si="1"/>
        <v>0</v>
      </c>
      <c r="L49" s="192"/>
    </row>
    <row r="50">
      <c r="A50" s="164">
        <v>46.0</v>
      </c>
      <c r="B50" s="165"/>
      <c r="C50" s="172"/>
      <c r="D50" s="171">
        <v>0.0</v>
      </c>
      <c r="E50" s="171">
        <v>0.0</v>
      </c>
      <c r="F50" s="172"/>
      <c r="G50" s="172"/>
      <c r="H50" s="172"/>
      <c r="I50" s="194"/>
      <c r="J50" s="194"/>
      <c r="K50" s="187">
        <f t="shared" si="1"/>
        <v>0</v>
      </c>
      <c r="L50" s="192"/>
    </row>
    <row r="51">
      <c r="A51" s="164">
        <v>47.0</v>
      </c>
      <c r="B51" s="165"/>
      <c r="C51" s="172"/>
      <c r="D51" s="171">
        <v>0.0</v>
      </c>
      <c r="E51" s="171">
        <v>0.0</v>
      </c>
      <c r="F51" s="172"/>
      <c r="G51" s="172"/>
      <c r="H51" s="172"/>
      <c r="I51" s="194"/>
      <c r="J51" s="194"/>
      <c r="K51" s="187">
        <f t="shared" si="1"/>
        <v>0</v>
      </c>
      <c r="L51" s="192"/>
    </row>
    <row r="52">
      <c r="A52" s="164">
        <v>48.0</v>
      </c>
      <c r="B52" s="165"/>
      <c r="C52" s="172"/>
      <c r="D52" s="171">
        <v>0.0</v>
      </c>
      <c r="E52" s="171">
        <v>0.0</v>
      </c>
      <c r="F52" s="172"/>
      <c r="G52" s="172"/>
      <c r="H52" s="172"/>
      <c r="I52" s="194"/>
      <c r="J52" s="194"/>
      <c r="K52" s="187">
        <f t="shared" si="1"/>
        <v>0</v>
      </c>
      <c r="L52" s="192"/>
    </row>
    <row r="53">
      <c r="A53" s="164">
        <v>49.0</v>
      </c>
      <c r="B53" s="165"/>
      <c r="C53" s="172"/>
      <c r="D53" s="171">
        <v>0.0</v>
      </c>
      <c r="E53" s="171">
        <v>0.0</v>
      </c>
      <c r="F53" s="172"/>
      <c r="G53" s="172"/>
      <c r="H53" s="172"/>
      <c r="I53" s="194"/>
      <c r="J53" s="194"/>
      <c r="K53" s="187">
        <f t="shared" si="1"/>
        <v>0</v>
      </c>
      <c r="L53" s="192"/>
    </row>
    <row r="54">
      <c r="A54" s="164">
        <v>50.0</v>
      </c>
      <c r="B54" s="165"/>
      <c r="C54" s="172"/>
      <c r="D54" s="171">
        <v>0.0</v>
      </c>
      <c r="E54" s="171">
        <v>0.0</v>
      </c>
      <c r="F54" s="172"/>
      <c r="G54" s="172"/>
      <c r="H54" s="172"/>
      <c r="I54" s="194"/>
      <c r="J54" s="194"/>
      <c r="K54" s="187">
        <f t="shared" si="1"/>
        <v>0</v>
      </c>
      <c r="L54" s="192"/>
    </row>
    <row r="55">
      <c r="A55" s="164">
        <v>51.0</v>
      </c>
      <c r="B55" s="165"/>
      <c r="C55" s="172"/>
      <c r="D55" s="171">
        <v>0.0</v>
      </c>
      <c r="E55" s="171">
        <v>0.0</v>
      </c>
      <c r="F55" s="172"/>
      <c r="G55" s="172"/>
      <c r="H55" s="172"/>
      <c r="I55" s="194"/>
      <c r="J55" s="194"/>
      <c r="K55" s="187">
        <f t="shared" si="1"/>
        <v>0</v>
      </c>
      <c r="L55" s="192"/>
    </row>
    <row r="56">
      <c r="A56" s="164">
        <v>52.0</v>
      </c>
      <c r="B56" s="165"/>
      <c r="C56" s="172"/>
      <c r="D56" s="171">
        <v>0.0</v>
      </c>
      <c r="E56" s="171">
        <v>0.0</v>
      </c>
      <c r="F56" s="172"/>
      <c r="G56" s="172"/>
      <c r="H56" s="172"/>
      <c r="I56" s="194"/>
      <c r="J56" s="194"/>
      <c r="K56" s="187">
        <f t="shared" si="1"/>
        <v>0</v>
      </c>
      <c r="L56" s="192"/>
    </row>
    <row r="57">
      <c r="A57" s="164">
        <v>53.0</v>
      </c>
      <c r="B57" s="165"/>
      <c r="C57" s="172"/>
      <c r="D57" s="171">
        <v>0.0</v>
      </c>
      <c r="E57" s="171">
        <v>0.0</v>
      </c>
      <c r="F57" s="172"/>
      <c r="G57" s="172"/>
      <c r="H57" s="172"/>
      <c r="I57" s="194"/>
      <c r="J57" s="194"/>
      <c r="K57" s="187">
        <f t="shared" si="1"/>
        <v>0</v>
      </c>
      <c r="L57" s="192"/>
    </row>
    <row r="58">
      <c r="A58" s="164">
        <v>54.0</v>
      </c>
      <c r="B58" s="165"/>
      <c r="C58" s="172"/>
      <c r="D58" s="171">
        <v>0.0</v>
      </c>
      <c r="E58" s="171">
        <v>0.0</v>
      </c>
      <c r="F58" s="172"/>
      <c r="G58" s="172"/>
      <c r="H58" s="172"/>
      <c r="I58" s="194"/>
      <c r="J58" s="194"/>
      <c r="K58" s="187">
        <f t="shared" si="1"/>
        <v>0</v>
      </c>
      <c r="L58" s="192"/>
    </row>
    <row r="59">
      <c r="A59" s="164">
        <v>55.0</v>
      </c>
      <c r="B59" s="165"/>
      <c r="C59" s="172"/>
      <c r="D59" s="171">
        <v>0.0</v>
      </c>
      <c r="E59" s="171">
        <v>0.0</v>
      </c>
      <c r="F59" s="172"/>
      <c r="G59" s="172"/>
      <c r="H59" s="172"/>
      <c r="I59" s="194"/>
      <c r="J59" s="194"/>
      <c r="K59" s="187">
        <f t="shared" si="1"/>
        <v>0</v>
      </c>
      <c r="L59" s="192"/>
    </row>
    <row r="60">
      <c r="A60" s="164">
        <v>56.0</v>
      </c>
      <c r="B60" s="165"/>
      <c r="C60" s="172"/>
      <c r="D60" s="171">
        <v>0.0</v>
      </c>
      <c r="E60" s="171">
        <v>0.0</v>
      </c>
      <c r="F60" s="172"/>
      <c r="G60" s="172"/>
      <c r="H60" s="172"/>
      <c r="I60" s="194"/>
      <c r="J60" s="194"/>
      <c r="K60" s="187">
        <f t="shared" si="1"/>
        <v>0</v>
      </c>
      <c r="L60" s="192"/>
    </row>
    <row r="61">
      <c r="A61" s="164">
        <v>57.0</v>
      </c>
      <c r="B61" s="165"/>
      <c r="C61" s="172"/>
      <c r="D61" s="171">
        <v>0.0</v>
      </c>
      <c r="E61" s="171">
        <v>0.0</v>
      </c>
      <c r="F61" s="172"/>
      <c r="G61" s="172"/>
      <c r="H61" s="172"/>
      <c r="I61" s="194"/>
      <c r="J61" s="194"/>
      <c r="K61" s="187">
        <f t="shared" si="1"/>
        <v>0</v>
      </c>
      <c r="L61" s="192"/>
    </row>
    <row r="62">
      <c r="A62" s="164">
        <v>58.0</v>
      </c>
      <c r="B62" s="165"/>
      <c r="C62" s="172"/>
      <c r="D62" s="171">
        <v>0.0</v>
      </c>
      <c r="E62" s="171">
        <v>0.0</v>
      </c>
      <c r="F62" s="172"/>
      <c r="G62" s="172"/>
      <c r="H62" s="172"/>
      <c r="I62" s="194"/>
      <c r="J62" s="194"/>
      <c r="K62" s="187">
        <f t="shared" si="1"/>
        <v>0</v>
      </c>
      <c r="L62" s="192"/>
    </row>
    <row r="63">
      <c r="A63" s="164">
        <v>59.0</v>
      </c>
      <c r="B63" s="165"/>
      <c r="C63" s="172"/>
      <c r="D63" s="171">
        <v>0.0</v>
      </c>
      <c r="E63" s="171">
        <v>0.0</v>
      </c>
      <c r="F63" s="172"/>
      <c r="G63" s="172"/>
      <c r="H63" s="172"/>
      <c r="I63" s="194"/>
      <c r="J63" s="194"/>
      <c r="K63" s="187">
        <f t="shared" si="1"/>
        <v>0</v>
      </c>
      <c r="L63" s="192"/>
    </row>
    <row r="64">
      <c r="A64" s="164">
        <v>60.0</v>
      </c>
      <c r="B64" s="165"/>
      <c r="C64" s="172"/>
      <c r="D64" s="171">
        <v>0.0</v>
      </c>
      <c r="E64" s="171">
        <v>0.0</v>
      </c>
      <c r="F64" s="172"/>
      <c r="G64" s="172"/>
      <c r="H64" s="172"/>
      <c r="I64" s="194"/>
      <c r="J64" s="194"/>
      <c r="K64" s="187">
        <f t="shared" si="1"/>
        <v>0</v>
      </c>
      <c r="L64" s="192"/>
    </row>
    <row r="65">
      <c r="A65" s="164">
        <v>61.0</v>
      </c>
      <c r="B65" s="165"/>
      <c r="C65" s="172"/>
      <c r="D65" s="171">
        <v>0.0</v>
      </c>
      <c r="E65" s="171">
        <v>0.0</v>
      </c>
      <c r="F65" s="172"/>
      <c r="G65" s="172"/>
      <c r="H65" s="172"/>
      <c r="I65" s="194"/>
      <c r="J65" s="194"/>
      <c r="K65" s="187">
        <f t="shared" si="1"/>
        <v>0</v>
      </c>
      <c r="L65" s="192"/>
    </row>
    <row r="66">
      <c r="A66" s="164">
        <v>62.0</v>
      </c>
      <c r="B66" s="165"/>
      <c r="C66" s="168"/>
      <c r="D66" s="171">
        <v>0.0</v>
      </c>
      <c r="E66" s="171">
        <v>0.0</v>
      </c>
      <c r="F66" s="168"/>
      <c r="G66" s="168"/>
      <c r="H66" s="168"/>
      <c r="I66" s="194"/>
      <c r="J66" s="194"/>
      <c r="K66" s="187">
        <f t="shared" si="1"/>
        <v>0</v>
      </c>
      <c r="L66" s="192"/>
    </row>
    <row r="67">
      <c r="A67" s="164">
        <v>63.0</v>
      </c>
      <c r="B67" s="165"/>
      <c r="C67" s="168"/>
      <c r="D67" s="171">
        <v>0.0</v>
      </c>
      <c r="E67" s="171">
        <v>0.0</v>
      </c>
      <c r="F67" s="168"/>
      <c r="G67" s="168"/>
      <c r="H67" s="168"/>
      <c r="I67" s="194"/>
      <c r="J67" s="194"/>
      <c r="K67" s="187">
        <f t="shared" si="1"/>
        <v>0</v>
      </c>
      <c r="L67" s="192"/>
    </row>
    <row r="68">
      <c r="A68" s="164">
        <v>64.0</v>
      </c>
      <c r="B68" s="165"/>
      <c r="C68" s="168"/>
      <c r="D68" s="171">
        <v>0.0</v>
      </c>
      <c r="E68" s="171">
        <v>0.0</v>
      </c>
      <c r="F68" s="168"/>
      <c r="G68" s="168"/>
      <c r="H68" s="168"/>
      <c r="I68" s="194"/>
      <c r="J68" s="194"/>
      <c r="K68" s="187">
        <f t="shared" si="1"/>
        <v>0</v>
      </c>
      <c r="L68" s="192"/>
    </row>
    <row r="69">
      <c r="A69" s="164">
        <v>65.0</v>
      </c>
      <c r="B69" s="165"/>
      <c r="C69" s="168"/>
      <c r="D69" s="171">
        <v>0.0</v>
      </c>
      <c r="E69" s="171">
        <v>0.0</v>
      </c>
      <c r="F69" s="168"/>
      <c r="G69" s="168"/>
      <c r="H69" s="168"/>
      <c r="I69" s="194"/>
      <c r="J69" s="194"/>
      <c r="K69" s="187">
        <f t="shared" si="1"/>
        <v>0</v>
      </c>
      <c r="L69" s="192"/>
    </row>
    <row r="70">
      <c r="A70" s="164">
        <v>66.0</v>
      </c>
      <c r="B70" s="165"/>
      <c r="C70" s="168"/>
      <c r="D70" s="171">
        <v>0.0</v>
      </c>
      <c r="E70" s="171">
        <v>0.0</v>
      </c>
      <c r="F70" s="168"/>
      <c r="G70" s="168"/>
      <c r="H70" s="168"/>
      <c r="I70" s="194"/>
      <c r="J70" s="194"/>
      <c r="K70" s="187">
        <f t="shared" si="1"/>
        <v>0</v>
      </c>
      <c r="L70" s="192"/>
    </row>
    <row r="71">
      <c r="A71" s="164">
        <v>67.0</v>
      </c>
      <c r="B71" s="165"/>
      <c r="C71" s="168"/>
      <c r="D71" s="171">
        <v>0.0</v>
      </c>
      <c r="E71" s="171">
        <v>0.0</v>
      </c>
      <c r="F71" s="168"/>
      <c r="G71" s="168"/>
      <c r="H71" s="168"/>
      <c r="I71" s="194"/>
      <c r="J71" s="194"/>
      <c r="K71" s="187">
        <f t="shared" si="1"/>
        <v>0</v>
      </c>
      <c r="L71" s="192"/>
    </row>
    <row r="72">
      <c r="A72" s="164">
        <v>68.0</v>
      </c>
      <c r="B72" s="165"/>
      <c r="C72" s="168"/>
      <c r="D72" s="171">
        <v>0.0</v>
      </c>
      <c r="E72" s="171">
        <v>0.0</v>
      </c>
      <c r="F72" s="168"/>
      <c r="G72" s="168"/>
      <c r="H72" s="168"/>
      <c r="I72" s="194"/>
      <c r="J72" s="194"/>
      <c r="K72" s="187">
        <f t="shared" si="1"/>
        <v>0</v>
      </c>
      <c r="L72" s="192"/>
    </row>
    <row r="73">
      <c r="A73" s="164">
        <v>69.0</v>
      </c>
      <c r="B73" s="165"/>
      <c r="C73" s="168"/>
      <c r="D73" s="171">
        <v>0.0</v>
      </c>
      <c r="E73" s="171">
        <v>0.0</v>
      </c>
      <c r="F73" s="168"/>
      <c r="G73" s="168"/>
      <c r="H73" s="168"/>
      <c r="I73" s="194"/>
      <c r="J73" s="194"/>
      <c r="K73" s="187">
        <f t="shared" si="1"/>
        <v>0</v>
      </c>
      <c r="L73" s="192"/>
    </row>
    <row r="74">
      <c r="A74" s="164">
        <v>70.0</v>
      </c>
      <c r="B74" s="165"/>
      <c r="C74" s="168"/>
      <c r="D74" s="171">
        <v>0.0</v>
      </c>
      <c r="E74" s="171">
        <v>0.0</v>
      </c>
      <c r="F74" s="168"/>
      <c r="G74" s="168"/>
      <c r="H74" s="168"/>
      <c r="I74" s="194"/>
      <c r="J74" s="194"/>
      <c r="K74" s="187">
        <f t="shared" si="1"/>
        <v>0</v>
      </c>
      <c r="L74" s="192"/>
    </row>
    <row r="75">
      <c r="A75" s="164">
        <v>71.0</v>
      </c>
      <c r="B75" s="165"/>
      <c r="C75" s="168"/>
      <c r="D75" s="171">
        <v>0.0</v>
      </c>
      <c r="E75" s="171">
        <v>0.0</v>
      </c>
      <c r="F75" s="168"/>
      <c r="G75" s="168"/>
      <c r="H75" s="168"/>
      <c r="I75" s="194"/>
      <c r="J75" s="194"/>
      <c r="K75" s="187">
        <f t="shared" si="1"/>
        <v>0</v>
      </c>
      <c r="L75" s="192"/>
    </row>
    <row r="76">
      <c r="A76" s="164">
        <v>72.0</v>
      </c>
      <c r="B76" s="165"/>
      <c r="C76" s="168"/>
      <c r="D76" s="171">
        <v>0.0</v>
      </c>
      <c r="E76" s="171">
        <v>0.0</v>
      </c>
      <c r="F76" s="168"/>
      <c r="G76" s="168"/>
      <c r="H76" s="168"/>
      <c r="I76" s="194"/>
      <c r="J76" s="194"/>
      <c r="K76" s="187">
        <f t="shared" si="1"/>
        <v>0</v>
      </c>
      <c r="L76" s="192"/>
    </row>
    <row r="77">
      <c r="A77" s="164">
        <v>73.0</v>
      </c>
      <c r="B77" s="165"/>
      <c r="C77" s="168"/>
      <c r="D77" s="171">
        <v>0.0</v>
      </c>
      <c r="E77" s="171">
        <v>0.0</v>
      </c>
      <c r="F77" s="168"/>
      <c r="G77" s="168"/>
      <c r="H77" s="168"/>
      <c r="I77" s="194"/>
      <c r="J77" s="194"/>
      <c r="K77" s="187">
        <f t="shared" si="1"/>
        <v>0</v>
      </c>
      <c r="L77" s="192"/>
    </row>
    <row r="78">
      <c r="A78" s="164">
        <v>74.0</v>
      </c>
      <c r="B78" s="165"/>
      <c r="C78" s="168"/>
      <c r="D78" s="171">
        <v>0.0</v>
      </c>
      <c r="E78" s="171">
        <v>0.0</v>
      </c>
      <c r="F78" s="168"/>
      <c r="G78" s="168"/>
      <c r="H78" s="168"/>
      <c r="I78" s="194"/>
      <c r="J78" s="194"/>
      <c r="K78" s="187">
        <f t="shared" si="1"/>
        <v>0</v>
      </c>
      <c r="L78" s="192"/>
    </row>
    <row r="79">
      <c r="A79" s="164">
        <v>75.0</v>
      </c>
      <c r="B79" s="165"/>
      <c r="C79" s="168"/>
      <c r="D79" s="171">
        <v>0.0</v>
      </c>
      <c r="E79" s="171">
        <v>0.0</v>
      </c>
      <c r="F79" s="168"/>
      <c r="G79" s="168"/>
      <c r="H79" s="168"/>
      <c r="I79" s="194"/>
      <c r="J79" s="194"/>
      <c r="K79" s="187">
        <f t="shared" si="1"/>
        <v>0</v>
      </c>
      <c r="L79" s="192"/>
    </row>
    <row r="80">
      <c r="A80" s="164">
        <v>76.0</v>
      </c>
      <c r="B80" s="165"/>
      <c r="C80" s="168"/>
      <c r="D80" s="171">
        <v>0.0</v>
      </c>
      <c r="E80" s="171">
        <v>0.0</v>
      </c>
      <c r="F80" s="168"/>
      <c r="G80" s="168"/>
      <c r="H80" s="168"/>
      <c r="I80" s="194"/>
      <c r="J80" s="194"/>
      <c r="K80" s="187">
        <f t="shared" si="1"/>
        <v>0</v>
      </c>
      <c r="L80" s="192"/>
    </row>
    <row r="81">
      <c r="A81" s="164">
        <v>77.0</v>
      </c>
      <c r="B81" s="165"/>
      <c r="C81" s="168"/>
      <c r="D81" s="171">
        <v>0.0</v>
      </c>
      <c r="E81" s="171">
        <v>0.0</v>
      </c>
      <c r="F81" s="168"/>
      <c r="G81" s="168"/>
      <c r="H81" s="168"/>
      <c r="I81" s="194"/>
      <c r="J81" s="194"/>
      <c r="K81" s="187">
        <f t="shared" si="1"/>
        <v>0</v>
      </c>
      <c r="L81" s="192"/>
    </row>
    <row r="82">
      <c r="A82" s="129">
        <v>78.0</v>
      </c>
      <c r="B82" s="165"/>
      <c r="C82" s="133"/>
      <c r="D82" s="132">
        <v>0.0</v>
      </c>
      <c r="E82" s="132">
        <v>0.0</v>
      </c>
      <c r="F82" s="168"/>
      <c r="G82" s="133"/>
      <c r="H82" s="133"/>
      <c r="I82" s="194"/>
      <c r="J82" s="200"/>
      <c r="K82" s="201">
        <f t="shared" ref="K82:K96" si="2">$E82-$D82</f>
        <v>0</v>
      </c>
      <c r="L82" s="192"/>
    </row>
    <row r="83">
      <c r="A83" s="129">
        <v>79.0</v>
      </c>
      <c r="B83" s="165"/>
      <c r="C83" s="133"/>
      <c r="D83" s="132">
        <v>0.0</v>
      </c>
      <c r="E83" s="132">
        <v>0.0</v>
      </c>
      <c r="F83" s="168"/>
      <c r="G83" s="133"/>
      <c r="H83" s="133"/>
      <c r="I83" s="194"/>
      <c r="J83" s="200"/>
      <c r="K83" s="201">
        <f t="shared" si="2"/>
        <v>0</v>
      </c>
      <c r="L83" s="192"/>
    </row>
    <row r="84">
      <c r="A84" s="129">
        <v>80.0</v>
      </c>
      <c r="B84" s="165"/>
      <c r="C84" s="133"/>
      <c r="D84" s="132">
        <v>0.0</v>
      </c>
      <c r="E84" s="132">
        <v>0.0</v>
      </c>
      <c r="F84" s="168"/>
      <c r="G84" s="133"/>
      <c r="H84" s="133"/>
      <c r="I84" s="194"/>
      <c r="J84" s="200"/>
      <c r="K84" s="201">
        <f t="shared" si="2"/>
        <v>0</v>
      </c>
      <c r="L84" s="192"/>
    </row>
    <row r="85">
      <c r="A85" s="129">
        <v>81.0</v>
      </c>
      <c r="B85" s="165"/>
      <c r="C85" s="133"/>
      <c r="D85" s="132">
        <v>0.0</v>
      </c>
      <c r="E85" s="132">
        <v>0.0</v>
      </c>
      <c r="F85" s="168"/>
      <c r="G85" s="133"/>
      <c r="H85" s="133"/>
      <c r="I85" s="194"/>
      <c r="J85" s="200"/>
      <c r="K85" s="201">
        <f t="shared" si="2"/>
        <v>0</v>
      </c>
      <c r="L85" s="192"/>
    </row>
    <row r="86">
      <c r="A86" s="129">
        <v>82.0</v>
      </c>
      <c r="B86" s="165"/>
      <c r="C86" s="133"/>
      <c r="D86" s="132">
        <v>0.0</v>
      </c>
      <c r="E86" s="132">
        <v>0.0</v>
      </c>
      <c r="F86" s="168"/>
      <c r="G86" s="133"/>
      <c r="H86" s="133"/>
      <c r="I86" s="194"/>
      <c r="J86" s="200"/>
      <c r="K86" s="201">
        <f t="shared" si="2"/>
        <v>0</v>
      </c>
      <c r="L86" s="192"/>
    </row>
    <row r="87">
      <c r="A87" s="129">
        <v>83.0</v>
      </c>
      <c r="B87" s="165"/>
      <c r="C87" s="133"/>
      <c r="D87" s="132">
        <v>0.0</v>
      </c>
      <c r="E87" s="132">
        <v>0.0</v>
      </c>
      <c r="F87" s="168"/>
      <c r="G87" s="133"/>
      <c r="H87" s="133"/>
      <c r="I87" s="194"/>
      <c r="J87" s="200"/>
      <c r="K87" s="201">
        <f t="shared" si="2"/>
        <v>0</v>
      </c>
      <c r="L87" s="192"/>
    </row>
    <row r="88">
      <c r="A88" s="129">
        <v>84.0</v>
      </c>
      <c r="B88" s="165"/>
      <c r="C88" s="133"/>
      <c r="D88" s="132">
        <v>0.0</v>
      </c>
      <c r="E88" s="132">
        <v>0.0</v>
      </c>
      <c r="F88" s="168"/>
      <c r="G88" s="133"/>
      <c r="H88" s="133"/>
      <c r="I88" s="194"/>
      <c r="J88" s="200"/>
      <c r="K88" s="201">
        <f t="shared" si="2"/>
        <v>0</v>
      </c>
      <c r="L88" s="192"/>
    </row>
    <row r="89">
      <c r="A89" s="129">
        <v>85.0</v>
      </c>
      <c r="B89" s="165"/>
      <c r="C89" s="133"/>
      <c r="D89" s="132">
        <v>0.0</v>
      </c>
      <c r="E89" s="132">
        <v>0.0</v>
      </c>
      <c r="F89" s="168"/>
      <c r="G89" s="133"/>
      <c r="H89" s="133"/>
      <c r="I89" s="194"/>
      <c r="J89" s="200"/>
      <c r="K89" s="201">
        <f t="shared" si="2"/>
        <v>0</v>
      </c>
      <c r="L89" s="192"/>
    </row>
    <row r="90">
      <c r="A90" s="129">
        <v>86.0</v>
      </c>
      <c r="B90" s="165"/>
      <c r="C90" s="133"/>
      <c r="D90" s="132">
        <v>0.0</v>
      </c>
      <c r="E90" s="132">
        <v>0.0</v>
      </c>
      <c r="F90" s="168"/>
      <c r="G90" s="133"/>
      <c r="H90" s="133"/>
      <c r="I90" s="194"/>
      <c r="J90" s="200"/>
      <c r="K90" s="201">
        <f t="shared" si="2"/>
        <v>0</v>
      </c>
      <c r="L90" s="192"/>
    </row>
    <row r="91">
      <c r="A91" s="129">
        <v>87.0</v>
      </c>
      <c r="B91" s="165"/>
      <c r="C91" s="133"/>
      <c r="D91" s="132">
        <v>0.0</v>
      </c>
      <c r="E91" s="132">
        <v>0.0</v>
      </c>
      <c r="F91" s="168"/>
      <c r="G91" s="133"/>
      <c r="H91" s="133"/>
      <c r="I91" s="194"/>
      <c r="J91" s="200"/>
      <c r="K91" s="201">
        <f t="shared" si="2"/>
        <v>0</v>
      </c>
      <c r="L91" s="192"/>
    </row>
    <row r="92">
      <c r="A92" s="129">
        <v>88.0</v>
      </c>
      <c r="B92" s="165"/>
      <c r="C92" s="133"/>
      <c r="D92" s="132">
        <v>0.0</v>
      </c>
      <c r="E92" s="132">
        <v>0.0</v>
      </c>
      <c r="F92" s="168"/>
      <c r="G92" s="133"/>
      <c r="H92" s="133"/>
      <c r="I92" s="194"/>
      <c r="J92" s="200"/>
      <c r="K92" s="201">
        <f t="shared" si="2"/>
        <v>0</v>
      </c>
      <c r="L92" s="192"/>
    </row>
    <row r="93">
      <c r="A93" s="129">
        <v>89.0</v>
      </c>
      <c r="B93" s="165"/>
      <c r="C93" s="133"/>
      <c r="D93" s="132">
        <v>0.0</v>
      </c>
      <c r="E93" s="132">
        <v>0.0</v>
      </c>
      <c r="F93" s="168"/>
      <c r="G93" s="133"/>
      <c r="H93" s="133"/>
      <c r="I93" s="194"/>
      <c r="J93" s="200"/>
      <c r="K93" s="201">
        <f t="shared" si="2"/>
        <v>0</v>
      </c>
      <c r="L93" s="192"/>
    </row>
    <row r="94">
      <c r="A94" s="129">
        <v>90.0</v>
      </c>
      <c r="B94" s="165"/>
      <c r="C94" s="133"/>
      <c r="D94" s="132">
        <v>0.0</v>
      </c>
      <c r="E94" s="132">
        <v>0.0</v>
      </c>
      <c r="F94" s="168"/>
      <c r="G94" s="133"/>
      <c r="H94" s="133"/>
      <c r="I94" s="194"/>
      <c r="J94" s="200"/>
      <c r="K94" s="201">
        <f t="shared" si="2"/>
        <v>0</v>
      </c>
      <c r="L94" s="192"/>
    </row>
    <row r="95">
      <c r="A95" s="129">
        <v>91.0</v>
      </c>
      <c r="B95" s="165"/>
      <c r="C95" s="133"/>
      <c r="D95" s="132">
        <v>0.0</v>
      </c>
      <c r="E95" s="132">
        <v>0.0</v>
      </c>
      <c r="F95" s="168"/>
      <c r="G95" s="133"/>
      <c r="H95" s="133"/>
      <c r="I95" s="194"/>
      <c r="J95" s="200"/>
      <c r="K95" s="201">
        <f t="shared" si="2"/>
        <v>0</v>
      </c>
      <c r="L95" s="192"/>
    </row>
    <row r="96">
      <c r="A96" s="202">
        <v>92.0</v>
      </c>
      <c r="B96" s="165"/>
      <c r="C96" s="203"/>
      <c r="D96" s="204">
        <v>0.0</v>
      </c>
      <c r="E96" s="204">
        <v>0.0</v>
      </c>
      <c r="F96" s="168"/>
      <c r="G96" s="203"/>
      <c r="H96" s="203"/>
      <c r="I96" s="194"/>
      <c r="J96" s="137"/>
      <c r="K96" s="201">
        <f t="shared" si="2"/>
        <v>0</v>
      </c>
      <c r="L96" s="192"/>
    </row>
    <row r="97">
      <c r="A97" s="205"/>
      <c r="B97" s="206"/>
      <c r="C97" s="206"/>
      <c r="D97" s="207"/>
      <c r="E97" s="207"/>
      <c r="F97" s="206"/>
      <c r="G97" s="206"/>
      <c r="H97" s="206"/>
    </row>
    <row r="98">
      <c r="A98" s="205"/>
      <c r="B98" s="206"/>
      <c r="C98" s="206"/>
      <c r="D98" s="207"/>
      <c r="E98" s="207"/>
      <c r="F98" s="206"/>
      <c r="G98" s="206"/>
      <c r="H98" s="206"/>
    </row>
    <row r="99">
      <c r="A99" s="205"/>
      <c r="B99" s="206"/>
      <c r="C99" s="206"/>
      <c r="D99" s="207"/>
      <c r="E99" s="207"/>
      <c r="F99" s="206"/>
      <c r="G99" s="206"/>
      <c r="H99" s="206"/>
    </row>
    <row r="100">
      <c r="A100" s="205"/>
      <c r="B100" s="206"/>
      <c r="C100" s="206"/>
      <c r="D100" s="207"/>
      <c r="E100" s="207"/>
      <c r="F100" s="206"/>
      <c r="G100" s="206"/>
      <c r="H100" s="206"/>
    </row>
    <row r="101">
      <c r="A101" s="205"/>
      <c r="B101" s="206"/>
      <c r="C101" s="206"/>
      <c r="D101" s="207"/>
      <c r="E101" s="207"/>
      <c r="F101" s="206"/>
      <c r="G101" s="206"/>
      <c r="H101" s="206"/>
    </row>
    <row r="102">
      <c r="A102" s="205"/>
      <c r="B102" s="206"/>
      <c r="C102" s="206"/>
      <c r="D102" s="207"/>
      <c r="E102" s="207"/>
      <c r="F102" s="206"/>
      <c r="G102" s="206"/>
      <c r="H102" s="206"/>
    </row>
    <row r="103">
      <c r="A103" s="205"/>
      <c r="B103" s="206"/>
      <c r="C103" s="206"/>
      <c r="D103" s="207"/>
      <c r="E103" s="207"/>
      <c r="F103" s="206"/>
      <c r="G103" s="206"/>
      <c r="H103" s="206"/>
    </row>
    <row r="104">
      <c r="A104" s="205"/>
      <c r="B104" s="206"/>
      <c r="C104" s="206"/>
      <c r="D104" s="207"/>
      <c r="E104" s="207"/>
      <c r="F104" s="206"/>
      <c r="G104" s="206"/>
      <c r="H104" s="206"/>
    </row>
    <row r="105">
      <c r="A105" s="205"/>
      <c r="B105" s="206"/>
      <c r="C105" s="206"/>
      <c r="D105" s="207"/>
      <c r="E105" s="207"/>
      <c r="F105" s="206"/>
      <c r="G105" s="206"/>
      <c r="H105" s="206"/>
    </row>
    <row r="106">
      <c r="A106" s="205"/>
      <c r="B106" s="206"/>
      <c r="C106" s="206"/>
      <c r="D106" s="207"/>
      <c r="E106" s="207"/>
      <c r="F106" s="206"/>
      <c r="G106" s="206"/>
      <c r="H106" s="206"/>
    </row>
    <row r="107">
      <c r="A107" s="205"/>
      <c r="B107" s="206"/>
      <c r="C107" s="206"/>
      <c r="D107" s="207"/>
      <c r="E107" s="207"/>
      <c r="F107" s="206"/>
      <c r="G107" s="206"/>
      <c r="H107" s="206"/>
    </row>
    <row r="108">
      <c r="A108" s="205"/>
      <c r="B108" s="206"/>
      <c r="C108" s="206"/>
      <c r="D108" s="207"/>
      <c r="E108" s="207"/>
      <c r="F108" s="206"/>
      <c r="G108" s="206"/>
      <c r="H108" s="206"/>
    </row>
    <row r="109">
      <c r="A109" s="205"/>
      <c r="B109" s="206"/>
      <c r="C109" s="206"/>
      <c r="D109" s="207"/>
      <c r="E109" s="207"/>
      <c r="F109" s="206"/>
      <c r="G109" s="206"/>
      <c r="H109" s="206"/>
    </row>
    <row r="110">
      <c r="A110" s="205"/>
      <c r="B110" s="206"/>
      <c r="C110" s="206"/>
      <c r="D110" s="207"/>
      <c r="E110" s="207"/>
      <c r="F110" s="206"/>
      <c r="G110" s="206"/>
      <c r="H110" s="206"/>
    </row>
    <row r="111">
      <c r="A111" s="205"/>
      <c r="B111" s="206"/>
      <c r="C111" s="206"/>
      <c r="D111" s="207"/>
      <c r="E111" s="207"/>
      <c r="F111" s="206"/>
      <c r="G111" s="206"/>
      <c r="H111" s="206"/>
    </row>
    <row r="112">
      <c r="A112" s="205"/>
      <c r="B112" s="206"/>
      <c r="C112" s="206"/>
      <c r="D112" s="207"/>
      <c r="E112" s="207"/>
      <c r="F112" s="206"/>
      <c r="G112" s="206"/>
      <c r="H112" s="206"/>
    </row>
    <row r="113">
      <c r="A113" s="205"/>
      <c r="B113" s="206"/>
      <c r="C113" s="206"/>
      <c r="D113" s="207"/>
      <c r="E113" s="207"/>
      <c r="F113" s="206"/>
      <c r="G113" s="206"/>
      <c r="H113" s="206"/>
    </row>
    <row r="114">
      <c r="A114" s="205"/>
      <c r="B114" s="206"/>
      <c r="C114" s="206"/>
      <c r="D114" s="207"/>
      <c r="E114" s="207"/>
      <c r="F114" s="206"/>
      <c r="G114" s="206"/>
      <c r="H114" s="206"/>
    </row>
    <row r="115">
      <c r="A115" s="205"/>
      <c r="B115" s="206"/>
      <c r="C115" s="206"/>
      <c r="D115" s="207"/>
      <c r="E115" s="207"/>
      <c r="F115" s="206"/>
      <c r="G115" s="206"/>
      <c r="H115" s="206"/>
    </row>
    <row r="116">
      <c r="A116" s="205"/>
      <c r="B116" s="206"/>
      <c r="C116" s="206"/>
      <c r="D116" s="207"/>
      <c r="E116" s="207"/>
      <c r="F116" s="206"/>
      <c r="G116" s="206"/>
      <c r="H116" s="206"/>
    </row>
    <row r="117">
      <c r="A117" s="205"/>
      <c r="B117" s="206"/>
      <c r="C117" s="206"/>
      <c r="D117" s="207"/>
      <c r="E117" s="207"/>
      <c r="F117" s="206"/>
      <c r="G117" s="206"/>
      <c r="H117" s="206"/>
    </row>
    <row r="118">
      <c r="A118" s="205"/>
      <c r="B118" s="206"/>
      <c r="C118" s="206"/>
      <c r="D118" s="207"/>
      <c r="E118" s="207"/>
      <c r="F118" s="206"/>
      <c r="G118" s="206"/>
      <c r="H118" s="206"/>
    </row>
    <row r="119">
      <c r="A119" s="205"/>
      <c r="B119" s="206"/>
      <c r="C119" s="206"/>
      <c r="D119" s="207"/>
      <c r="E119" s="207"/>
      <c r="F119" s="206"/>
      <c r="G119" s="206"/>
      <c r="H119" s="206"/>
    </row>
    <row r="120">
      <c r="A120" s="205"/>
      <c r="B120" s="206"/>
      <c r="C120" s="206"/>
      <c r="D120" s="207"/>
      <c r="E120" s="207"/>
      <c r="F120" s="206"/>
      <c r="G120" s="206"/>
      <c r="H120" s="206"/>
    </row>
    <row r="121">
      <c r="A121" s="205"/>
      <c r="B121" s="206"/>
      <c r="C121" s="206"/>
      <c r="D121" s="207"/>
      <c r="E121" s="207"/>
      <c r="F121" s="206"/>
      <c r="G121" s="206"/>
      <c r="H121" s="206"/>
    </row>
    <row r="122">
      <c r="A122" s="205"/>
      <c r="B122" s="206"/>
      <c r="C122" s="206"/>
      <c r="D122" s="207"/>
      <c r="E122" s="207"/>
      <c r="F122" s="206"/>
      <c r="G122" s="206"/>
      <c r="H122" s="206"/>
    </row>
    <row r="123">
      <c r="A123" s="205"/>
      <c r="B123" s="206"/>
      <c r="C123" s="206"/>
      <c r="D123" s="207"/>
      <c r="E123" s="207"/>
      <c r="F123" s="206"/>
      <c r="G123" s="206"/>
      <c r="H123" s="206"/>
    </row>
    <row r="124">
      <c r="A124" s="205"/>
      <c r="B124" s="206"/>
      <c r="C124" s="206"/>
      <c r="D124" s="207"/>
      <c r="E124" s="207"/>
      <c r="F124" s="206"/>
      <c r="G124" s="206"/>
      <c r="H124" s="206"/>
    </row>
    <row r="125">
      <c r="A125" s="205"/>
      <c r="B125" s="206"/>
      <c r="C125" s="206"/>
      <c r="D125" s="207"/>
      <c r="E125" s="207"/>
      <c r="F125" s="206"/>
      <c r="G125" s="206"/>
      <c r="H125" s="206"/>
    </row>
    <row r="126">
      <c r="A126" s="205"/>
      <c r="B126" s="206"/>
      <c r="C126" s="206"/>
      <c r="D126" s="207"/>
      <c r="E126" s="207"/>
      <c r="F126" s="206"/>
      <c r="G126" s="206"/>
      <c r="H126" s="206"/>
    </row>
    <row r="127">
      <c r="A127" s="205"/>
      <c r="B127" s="206"/>
      <c r="C127" s="206"/>
      <c r="D127" s="207"/>
      <c r="E127" s="207"/>
      <c r="F127" s="206"/>
      <c r="G127" s="206"/>
      <c r="H127" s="206"/>
    </row>
    <row r="128">
      <c r="A128" s="205"/>
      <c r="B128" s="206"/>
      <c r="C128" s="206"/>
      <c r="D128" s="207"/>
      <c r="E128" s="207"/>
      <c r="F128" s="206"/>
      <c r="G128" s="206"/>
      <c r="H128" s="206"/>
    </row>
    <row r="129">
      <c r="A129" s="205"/>
      <c r="B129" s="206"/>
      <c r="C129" s="206"/>
      <c r="D129" s="207"/>
      <c r="E129" s="207"/>
      <c r="F129" s="206"/>
      <c r="G129" s="206"/>
      <c r="H129" s="206"/>
    </row>
    <row r="130">
      <c r="A130" s="205"/>
      <c r="B130" s="206"/>
      <c r="C130" s="206"/>
      <c r="D130" s="207"/>
      <c r="E130" s="207"/>
      <c r="F130" s="206"/>
      <c r="G130" s="206"/>
      <c r="H130" s="206"/>
    </row>
    <row r="131">
      <c r="A131" s="205"/>
      <c r="B131" s="206"/>
      <c r="C131" s="206"/>
      <c r="D131" s="207"/>
      <c r="E131" s="207"/>
      <c r="F131" s="206"/>
      <c r="G131" s="206"/>
      <c r="H131" s="206"/>
    </row>
    <row r="132">
      <c r="A132" s="205"/>
      <c r="B132" s="206"/>
      <c r="C132" s="206"/>
      <c r="D132" s="207"/>
      <c r="E132" s="207"/>
      <c r="F132" s="206"/>
      <c r="G132" s="206"/>
      <c r="H132" s="206"/>
    </row>
    <row r="133">
      <c r="A133" s="205"/>
      <c r="B133" s="206"/>
      <c r="C133" s="206"/>
      <c r="D133" s="207"/>
      <c r="E133" s="207"/>
      <c r="F133" s="206"/>
      <c r="G133" s="206"/>
      <c r="H133" s="206"/>
    </row>
    <row r="134">
      <c r="A134" s="205"/>
      <c r="B134" s="206"/>
      <c r="C134" s="206"/>
      <c r="D134" s="207"/>
      <c r="E134" s="207"/>
      <c r="F134" s="206"/>
      <c r="G134" s="206"/>
      <c r="H134" s="206"/>
    </row>
    <row r="135">
      <c r="A135" s="205"/>
      <c r="B135" s="206"/>
      <c r="C135" s="206"/>
      <c r="D135" s="207"/>
      <c r="E135" s="207"/>
      <c r="F135" s="206"/>
      <c r="G135" s="206"/>
      <c r="H135" s="206"/>
    </row>
    <row r="136">
      <c r="A136" s="205"/>
      <c r="B136" s="206"/>
      <c r="C136" s="206"/>
      <c r="D136" s="207"/>
      <c r="E136" s="207"/>
      <c r="F136" s="206"/>
      <c r="G136" s="206"/>
      <c r="H136" s="206"/>
    </row>
    <row r="137">
      <c r="A137" s="205"/>
      <c r="B137" s="206"/>
      <c r="C137" s="206"/>
      <c r="D137" s="207"/>
      <c r="E137" s="207"/>
      <c r="F137" s="206"/>
      <c r="G137" s="206"/>
      <c r="H137" s="206"/>
    </row>
    <row r="138">
      <c r="A138" s="205"/>
      <c r="B138" s="206"/>
      <c r="C138" s="206"/>
      <c r="D138" s="207"/>
      <c r="E138" s="207"/>
      <c r="F138" s="206"/>
      <c r="G138" s="206"/>
      <c r="H138" s="206"/>
    </row>
    <row r="139">
      <c r="A139" s="205"/>
      <c r="B139" s="206"/>
      <c r="C139" s="206"/>
      <c r="D139" s="207"/>
      <c r="E139" s="207"/>
      <c r="F139" s="206"/>
      <c r="G139" s="206"/>
      <c r="H139" s="206"/>
    </row>
    <row r="140">
      <c r="A140" s="205"/>
      <c r="B140" s="206"/>
      <c r="C140" s="206"/>
      <c r="D140" s="207"/>
      <c r="E140" s="207"/>
      <c r="F140" s="206"/>
      <c r="G140" s="206"/>
      <c r="H140" s="206"/>
    </row>
    <row r="141">
      <c r="A141" s="205"/>
      <c r="B141" s="206"/>
      <c r="C141" s="206"/>
      <c r="D141" s="207"/>
      <c r="E141" s="207"/>
      <c r="F141" s="206"/>
      <c r="G141" s="206"/>
      <c r="H141" s="206"/>
    </row>
    <row r="142">
      <c r="A142" s="205"/>
      <c r="B142" s="206"/>
      <c r="C142" s="206"/>
      <c r="D142" s="207"/>
      <c r="E142" s="207"/>
      <c r="F142" s="206"/>
      <c r="G142" s="206"/>
      <c r="H142" s="206"/>
    </row>
    <row r="143">
      <c r="A143" s="205"/>
      <c r="B143" s="206"/>
      <c r="C143" s="206"/>
      <c r="D143" s="207"/>
      <c r="E143" s="207"/>
      <c r="F143" s="206"/>
      <c r="G143" s="206"/>
      <c r="H143" s="206"/>
    </row>
    <row r="144">
      <c r="A144" s="205"/>
      <c r="B144" s="206"/>
      <c r="C144" s="206"/>
      <c r="D144" s="207"/>
      <c r="E144" s="207"/>
      <c r="F144" s="206"/>
      <c r="G144" s="206"/>
      <c r="H144" s="206"/>
    </row>
    <row r="145">
      <c r="A145" s="205"/>
      <c r="B145" s="206"/>
      <c r="C145" s="206"/>
      <c r="D145" s="207"/>
      <c r="E145" s="207"/>
      <c r="F145" s="206"/>
      <c r="G145" s="206"/>
      <c r="H145" s="206"/>
    </row>
    <row r="146">
      <c r="A146" s="205"/>
      <c r="B146" s="206"/>
      <c r="C146" s="206"/>
      <c r="D146" s="207"/>
      <c r="E146" s="207"/>
      <c r="F146" s="206"/>
      <c r="G146" s="206"/>
      <c r="H146" s="206"/>
    </row>
    <row r="147">
      <c r="A147" s="205"/>
      <c r="B147" s="206"/>
      <c r="C147" s="206"/>
      <c r="D147" s="207"/>
      <c r="E147" s="207"/>
      <c r="F147" s="206"/>
      <c r="G147" s="206"/>
      <c r="H147" s="206"/>
    </row>
    <row r="148">
      <c r="A148" s="205"/>
      <c r="B148" s="206"/>
      <c r="C148" s="206"/>
      <c r="D148" s="207"/>
      <c r="E148" s="207"/>
      <c r="F148" s="206"/>
      <c r="G148" s="206"/>
      <c r="H148" s="206"/>
    </row>
    <row r="149">
      <c r="A149" s="205"/>
      <c r="B149" s="206"/>
      <c r="C149" s="206"/>
      <c r="D149" s="207"/>
      <c r="E149" s="207"/>
      <c r="F149" s="206"/>
      <c r="G149" s="206"/>
      <c r="H149" s="206"/>
    </row>
    <row r="150">
      <c r="A150" s="205"/>
      <c r="B150" s="206"/>
      <c r="C150" s="206"/>
      <c r="D150" s="207"/>
      <c r="E150" s="207"/>
      <c r="F150" s="206"/>
      <c r="G150" s="206"/>
      <c r="H150" s="206"/>
    </row>
    <row r="151">
      <c r="A151" s="205"/>
      <c r="B151" s="206"/>
      <c r="C151" s="206"/>
      <c r="D151" s="207"/>
      <c r="E151" s="207"/>
      <c r="F151" s="206"/>
      <c r="G151" s="206"/>
      <c r="H151" s="206"/>
    </row>
    <row r="152">
      <c r="A152" s="205"/>
      <c r="B152" s="206"/>
      <c r="C152" s="206"/>
      <c r="D152" s="207"/>
      <c r="E152" s="207"/>
      <c r="F152" s="206"/>
      <c r="G152" s="206"/>
      <c r="H152" s="206"/>
    </row>
    <row r="153">
      <c r="A153" s="205"/>
      <c r="B153" s="206"/>
      <c r="C153" s="206"/>
      <c r="D153" s="207"/>
      <c r="E153" s="207"/>
      <c r="F153" s="206"/>
      <c r="G153" s="206"/>
      <c r="H153" s="206"/>
    </row>
    <row r="154">
      <c r="A154" s="205"/>
      <c r="B154" s="206"/>
      <c r="C154" s="206"/>
      <c r="D154" s="207"/>
      <c r="E154" s="207"/>
      <c r="F154" s="206"/>
      <c r="G154" s="206"/>
      <c r="H154" s="206"/>
    </row>
    <row r="155">
      <c r="A155" s="205"/>
      <c r="B155" s="206"/>
      <c r="C155" s="206"/>
      <c r="D155" s="207"/>
      <c r="E155" s="207"/>
      <c r="F155" s="206"/>
      <c r="G155" s="206"/>
      <c r="H155" s="206"/>
    </row>
    <row r="156">
      <c r="A156" s="205"/>
      <c r="B156" s="206"/>
      <c r="C156" s="206"/>
      <c r="D156" s="207"/>
      <c r="E156" s="207"/>
      <c r="F156" s="206"/>
      <c r="G156" s="206"/>
      <c r="H156" s="206"/>
    </row>
    <row r="157">
      <c r="A157" s="205"/>
      <c r="B157" s="206"/>
      <c r="C157" s="206"/>
      <c r="D157" s="207"/>
      <c r="E157" s="207"/>
      <c r="F157" s="206"/>
      <c r="G157" s="206"/>
      <c r="H157" s="206"/>
    </row>
    <row r="158">
      <c r="A158" s="205"/>
      <c r="B158" s="206"/>
      <c r="C158" s="206"/>
      <c r="D158" s="207"/>
      <c r="E158" s="207"/>
      <c r="F158" s="206"/>
      <c r="G158" s="206"/>
      <c r="H158" s="206"/>
    </row>
    <row r="159">
      <c r="A159" s="205"/>
      <c r="B159" s="206"/>
      <c r="C159" s="206"/>
      <c r="D159" s="207"/>
      <c r="E159" s="207"/>
      <c r="F159" s="206"/>
      <c r="G159" s="206"/>
      <c r="H159" s="206"/>
    </row>
    <row r="160">
      <c r="A160" s="205"/>
      <c r="B160" s="206"/>
      <c r="C160" s="206"/>
      <c r="D160" s="207"/>
      <c r="E160" s="207"/>
      <c r="F160" s="206"/>
      <c r="G160" s="206"/>
      <c r="H160" s="206"/>
    </row>
    <row r="161">
      <c r="A161" s="205"/>
      <c r="B161" s="206"/>
      <c r="C161" s="206"/>
      <c r="D161" s="207"/>
      <c r="E161" s="207"/>
      <c r="F161" s="206"/>
      <c r="G161" s="206"/>
      <c r="H161" s="206"/>
    </row>
    <row r="162">
      <c r="A162" s="205"/>
      <c r="B162" s="206"/>
      <c r="C162" s="206"/>
      <c r="D162" s="207"/>
      <c r="E162" s="207"/>
      <c r="F162" s="206"/>
      <c r="G162" s="206"/>
      <c r="H162" s="206"/>
    </row>
    <row r="163">
      <c r="A163" s="205"/>
      <c r="B163" s="206"/>
      <c r="C163" s="206"/>
      <c r="D163" s="207"/>
      <c r="E163" s="207"/>
      <c r="F163" s="206"/>
      <c r="G163" s="206"/>
      <c r="H163" s="206"/>
    </row>
    <row r="164">
      <c r="A164" s="205"/>
      <c r="B164" s="206"/>
      <c r="C164" s="206"/>
      <c r="D164" s="207"/>
      <c r="E164" s="207"/>
      <c r="F164" s="206"/>
      <c r="G164" s="206"/>
      <c r="H164" s="206"/>
    </row>
    <row r="165">
      <c r="A165" s="205"/>
      <c r="B165" s="206"/>
      <c r="C165" s="206"/>
      <c r="D165" s="207"/>
      <c r="E165" s="207"/>
      <c r="F165" s="206"/>
      <c r="G165" s="206"/>
      <c r="H165" s="206"/>
    </row>
    <row r="166">
      <c r="A166" s="205"/>
      <c r="B166" s="206"/>
      <c r="C166" s="206"/>
      <c r="D166" s="207"/>
      <c r="E166" s="207"/>
      <c r="F166" s="206"/>
      <c r="G166" s="206"/>
      <c r="H166" s="206"/>
    </row>
    <row r="167">
      <c r="A167" s="205"/>
      <c r="B167" s="206"/>
      <c r="C167" s="206"/>
      <c r="D167" s="207"/>
      <c r="E167" s="207"/>
      <c r="F167" s="206"/>
      <c r="G167" s="206"/>
      <c r="H167" s="206"/>
    </row>
    <row r="168">
      <c r="A168" s="205"/>
      <c r="B168" s="206"/>
      <c r="C168" s="206"/>
      <c r="D168" s="207"/>
      <c r="E168" s="207"/>
      <c r="F168" s="206"/>
      <c r="G168" s="206"/>
      <c r="H168" s="206"/>
    </row>
    <row r="169">
      <c r="A169" s="205"/>
      <c r="B169" s="206"/>
      <c r="C169" s="206"/>
      <c r="D169" s="207"/>
      <c r="E169" s="207"/>
      <c r="F169" s="206"/>
      <c r="G169" s="206"/>
      <c r="H169" s="206"/>
    </row>
    <row r="170">
      <c r="A170" s="205"/>
      <c r="B170" s="206"/>
      <c r="C170" s="206"/>
      <c r="D170" s="207"/>
      <c r="E170" s="207"/>
      <c r="F170" s="206"/>
      <c r="G170" s="206"/>
      <c r="H170" s="206"/>
    </row>
    <row r="171">
      <c r="A171" s="205"/>
      <c r="B171" s="206"/>
      <c r="C171" s="206"/>
      <c r="D171" s="207"/>
      <c r="E171" s="207"/>
      <c r="F171" s="206"/>
      <c r="G171" s="206"/>
      <c r="H171" s="206"/>
    </row>
    <row r="172">
      <c r="A172" s="205"/>
      <c r="B172" s="206"/>
      <c r="C172" s="206"/>
      <c r="D172" s="207"/>
      <c r="E172" s="207"/>
      <c r="F172" s="206"/>
      <c r="G172" s="206"/>
      <c r="H172" s="206"/>
    </row>
    <row r="173">
      <c r="A173" s="205"/>
      <c r="B173" s="206"/>
      <c r="C173" s="206"/>
      <c r="D173" s="207"/>
      <c r="E173" s="207"/>
      <c r="F173" s="206"/>
      <c r="G173" s="206"/>
      <c r="H173" s="206"/>
    </row>
    <row r="174">
      <c r="A174" s="205"/>
      <c r="B174" s="206"/>
      <c r="C174" s="206"/>
      <c r="D174" s="207"/>
      <c r="E174" s="207"/>
      <c r="F174" s="206"/>
      <c r="G174" s="206"/>
      <c r="H174" s="206"/>
    </row>
    <row r="175">
      <c r="A175" s="205"/>
      <c r="B175" s="206"/>
      <c r="C175" s="206"/>
      <c r="D175" s="207"/>
      <c r="E175" s="207"/>
      <c r="F175" s="206"/>
      <c r="G175" s="206"/>
      <c r="H175" s="206"/>
    </row>
    <row r="176">
      <c r="A176" s="205"/>
      <c r="B176" s="206"/>
      <c r="C176" s="206"/>
      <c r="D176" s="207"/>
      <c r="E176" s="207"/>
      <c r="F176" s="206"/>
      <c r="G176" s="206"/>
      <c r="H176" s="206"/>
    </row>
    <row r="177">
      <c r="A177" s="205"/>
      <c r="B177" s="206"/>
      <c r="C177" s="206"/>
      <c r="D177" s="207"/>
      <c r="E177" s="207"/>
      <c r="F177" s="206"/>
      <c r="G177" s="206"/>
      <c r="H177" s="206"/>
    </row>
    <row r="178">
      <c r="A178" s="205"/>
      <c r="B178" s="206"/>
      <c r="C178" s="206"/>
      <c r="D178" s="207"/>
      <c r="E178" s="207"/>
      <c r="F178" s="206"/>
      <c r="G178" s="206"/>
      <c r="H178" s="206"/>
    </row>
    <row r="179">
      <c r="A179" s="205"/>
      <c r="B179" s="206"/>
      <c r="C179" s="206"/>
      <c r="D179" s="207"/>
      <c r="E179" s="207"/>
      <c r="F179" s="206"/>
      <c r="G179" s="206"/>
      <c r="H179" s="206"/>
    </row>
    <row r="180">
      <c r="A180" s="205"/>
      <c r="B180" s="206"/>
      <c r="C180" s="206"/>
      <c r="D180" s="207"/>
      <c r="E180" s="207"/>
      <c r="F180" s="206"/>
      <c r="G180" s="206"/>
      <c r="H180" s="206"/>
    </row>
    <row r="181">
      <c r="A181" s="205"/>
      <c r="B181" s="206"/>
      <c r="C181" s="206"/>
      <c r="D181" s="207"/>
      <c r="E181" s="207"/>
      <c r="F181" s="206"/>
      <c r="G181" s="206"/>
      <c r="H181" s="206"/>
    </row>
    <row r="182">
      <c r="A182" s="205"/>
      <c r="B182" s="206"/>
      <c r="C182" s="206"/>
      <c r="D182" s="207"/>
      <c r="E182" s="207"/>
      <c r="F182" s="206"/>
      <c r="G182" s="206"/>
      <c r="H182" s="206"/>
    </row>
    <row r="183">
      <c r="A183" s="205"/>
      <c r="B183" s="206"/>
      <c r="C183" s="206"/>
      <c r="D183" s="207"/>
      <c r="E183" s="207"/>
      <c r="F183" s="206"/>
      <c r="G183" s="206"/>
      <c r="H183" s="206"/>
    </row>
    <row r="184">
      <c r="A184" s="205"/>
      <c r="B184" s="206"/>
      <c r="C184" s="206"/>
      <c r="D184" s="207"/>
      <c r="E184" s="207"/>
      <c r="F184" s="206"/>
      <c r="G184" s="206"/>
      <c r="H184" s="206"/>
    </row>
    <row r="185">
      <c r="A185" s="205"/>
      <c r="B185" s="206"/>
      <c r="C185" s="206"/>
      <c r="D185" s="207"/>
      <c r="E185" s="207"/>
      <c r="F185" s="206"/>
      <c r="G185" s="206"/>
      <c r="H185" s="206"/>
    </row>
    <row r="186">
      <c r="A186" s="205"/>
      <c r="B186" s="206"/>
      <c r="C186" s="206"/>
      <c r="D186" s="207"/>
      <c r="E186" s="207"/>
      <c r="F186" s="206"/>
      <c r="G186" s="206"/>
      <c r="H186" s="206"/>
    </row>
    <row r="187">
      <c r="A187" s="205"/>
      <c r="B187" s="206"/>
      <c r="C187" s="206"/>
      <c r="D187" s="207"/>
      <c r="E187" s="207"/>
      <c r="F187" s="206"/>
      <c r="G187" s="206"/>
      <c r="H187" s="206"/>
    </row>
    <row r="188">
      <c r="A188" s="205"/>
      <c r="B188" s="206"/>
      <c r="C188" s="206"/>
      <c r="D188" s="207"/>
      <c r="E188" s="207"/>
      <c r="F188" s="206"/>
      <c r="G188" s="206"/>
      <c r="H188" s="206"/>
    </row>
    <row r="189">
      <c r="A189" s="205"/>
      <c r="B189" s="206"/>
      <c r="C189" s="206"/>
      <c r="D189" s="207"/>
      <c r="E189" s="207"/>
      <c r="F189" s="206"/>
      <c r="G189" s="206"/>
      <c r="H189" s="206"/>
    </row>
    <row r="190">
      <c r="A190" s="205"/>
      <c r="B190" s="206"/>
      <c r="C190" s="206"/>
      <c r="D190" s="207"/>
      <c r="E190" s="207"/>
      <c r="F190" s="206"/>
      <c r="G190" s="206"/>
      <c r="H190" s="206"/>
    </row>
    <row r="191">
      <c r="A191" s="205"/>
      <c r="B191" s="206"/>
      <c r="C191" s="206"/>
      <c r="D191" s="207"/>
      <c r="E191" s="207"/>
      <c r="F191" s="206"/>
      <c r="G191" s="206"/>
      <c r="H191" s="206"/>
    </row>
    <row r="192">
      <c r="A192" s="205"/>
      <c r="B192" s="206"/>
      <c r="C192" s="206"/>
      <c r="D192" s="207"/>
      <c r="E192" s="207"/>
      <c r="F192" s="206"/>
      <c r="G192" s="206"/>
      <c r="H192" s="206"/>
    </row>
    <row r="193">
      <c r="A193" s="205"/>
      <c r="B193" s="206"/>
      <c r="C193" s="206"/>
      <c r="D193" s="207"/>
      <c r="E193" s="207"/>
      <c r="F193" s="206"/>
      <c r="G193" s="206"/>
      <c r="H193" s="206"/>
    </row>
    <row r="194">
      <c r="A194" s="205"/>
      <c r="B194" s="206"/>
      <c r="C194" s="206"/>
      <c r="D194" s="207"/>
      <c r="E194" s="207"/>
      <c r="F194" s="206"/>
      <c r="G194" s="206"/>
      <c r="H194" s="206"/>
    </row>
    <row r="195">
      <c r="A195" s="205"/>
      <c r="B195" s="206"/>
      <c r="C195" s="206"/>
      <c r="D195" s="207"/>
      <c r="E195" s="207"/>
      <c r="F195" s="206"/>
      <c r="G195" s="206"/>
      <c r="H195" s="206"/>
    </row>
    <row r="196">
      <c r="A196" s="205"/>
      <c r="B196" s="206"/>
      <c r="C196" s="206"/>
      <c r="D196" s="207"/>
      <c r="E196" s="207"/>
      <c r="F196" s="206"/>
      <c r="G196" s="206"/>
      <c r="H196" s="206"/>
    </row>
    <row r="197">
      <c r="A197" s="205"/>
      <c r="B197" s="206"/>
      <c r="C197" s="206"/>
      <c r="D197" s="207"/>
      <c r="E197" s="207"/>
      <c r="F197" s="206"/>
      <c r="G197" s="206"/>
      <c r="H197" s="206"/>
    </row>
    <row r="198">
      <c r="A198" s="205"/>
      <c r="B198" s="206"/>
      <c r="C198" s="206"/>
      <c r="D198" s="207"/>
      <c r="E198" s="207"/>
      <c r="F198" s="206"/>
      <c r="G198" s="206"/>
      <c r="H198" s="206"/>
    </row>
    <row r="199">
      <c r="A199" s="205"/>
      <c r="B199" s="206"/>
      <c r="C199" s="206"/>
      <c r="D199" s="207"/>
      <c r="E199" s="207"/>
      <c r="F199" s="206"/>
      <c r="G199" s="206"/>
      <c r="H199" s="206"/>
    </row>
    <row r="200">
      <c r="A200" s="205"/>
      <c r="B200" s="206"/>
      <c r="C200" s="206"/>
      <c r="D200" s="207"/>
      <c r="E200" s="207"/>
      <c r="F200" s="206"/>
      <c r="G200" s="206"/>
      <c r="H200" s="206"/>
    </row>
    <row r="201">
      <c r="A201" s="205"/>
      <c r="B201" s="206"/>
      <c r="C201" s="206"/>
      <c r="D201" s="207"/>
      <c r="E201" s="207"/>
      <c r="F201" s="206"/>
      <c r="G201" s="206"/>
      <c r="H201" s="206"/>
    </row>
    <row r="202">
      <c r="A202" s="205"/>
      <c r="B202" s="206"/>
      <c r="C202" s="206"/>
      <c r="D202" s="207"/>
      <c r="E202" s="207"/>
      <c r="F202" s="206"/>
      <c r="G202" s="206"/>
      <c r="H202" s="206"/>
    </row>
    <row r="203">
      <c r="A203" s="205"/>
      <c r="B203" s="206"/>
      <c r="C203" s="206"/>
      <c r="D203" s="207"/>
      <c r="E203" s="207"/>
      <c r="F203" s="206"/>
      <c r="G203" s="206"/>
      <c r="H203" s="206"/>
    </row>
    <row r="204">
      <c r="A204" s="205"/>
      <c r="B204" s="206"/>
      <c r="C204" s="206"/>
      <c r="D204" s="207"/>
      <c r="E204" s="207"/>
      <c r="F204" s="206"/>
      <c r="G204" s="206"/>
      <c r="H204" s="206"/>
    </row>
    <row r="205">
      <c r="A205" s="205"/>
      <c r="B205" s="206"/>
      <c r="C205" s="206"/>
      <c r="D205" s="207"/>
      <c r="E205" s="207"/>
      <c r="F205" s="206"/>
      <c r="G205" s="206"/>
      <c r="H205" s="206"/>
    </row>
    <row r="206">
      <c r="A206" s="205"/>
      <c r="B206" s="206"/>
      <c r="C206" s="206"/>
      <c r="D206" s="207"/>
      <c r="E206" s="207"/>
      <c r="F206" s="206"/>
      <c r="G206" s="206"/>
      <c r="H206" s="206"/>
    </row>
    <row r="207">
      <c r="A207" s="205"/>
      <c r="B207" s="206"/>
      <c r="C207" s="206"/>
      <c r="D207" s="207"/>
      <c r="E207" s="207"/>
      <c r="F207" s="206"/>
      <c r="G207" s="206"/>
      <c r="H207" s="206"/>
    </row>
    <row r="208">
      <c r="A208" s="205"/>
      <c r="B208" s="206"/>
      <c r="C208" s="206"/>
      <c r="D208" s="207"/>
      <c r="E208" s="207"/>
      <c r="F208" s="206"/>
      <c r="G208" s="206"/>
      <c r="H208" s="206"/>
    </row>
    <row r="209">
      <c r="A209" s="205"/>
      <c r="B209" s="206"/>
      <c r="C209" s="206"/>
      <c r="D209" s="207"/>
      <c r="E209" s="207"/>
      <c r="F209" s="206"/>
      <c r="G209" s="206"/>
      <c r="H209" s="206"/>
    </row>
  </sheetData>
  <mergeCells count="13">
    <mergeCell ref="G3:G4"/>
    <mergeCell ref="H3:H4"/>
    <mergeCell ref="I3:I4"/>
    <mergeCell ref="J3:J4"/>
    <mergeCell ref="K3:K4"/>
    <mergeCell ref="L3:L4"/>
    <mergeCell ref="A1:K2"/>
    <mergeCell ref="A3:A4"/>
    <mergeCell ref="B3:B4"/>
    <mergeCell ref="C3:C4"/>
    <mergeCell ref="D3:D4"/>
    <mergeCell ref="E3:E4"/>
    <mergeCell ref="F3:F4"/>
  </mergeCells>
  <conditionalFormatting sqref="G5:G96">
    <cfRule type="cellIs" dxfId="12" priority="1" operator="between">
      <formula>9.9</formula>
      <formula>9.95</formula>
    </cfRule>
  </conditionalFormatting>
  <conditionalFormatting sqref="G5:G96">
    <cfRule type="cellIs" dxfId="4" priority="2" operator="notBetween">
      <formula>9.9</formula>
      <formula>9.95</formula>
    </cfRule>
  </conditionalFormatting>
  <conditionalFormatting sqref="H5:H96">
    <cfRule type="cellIs" dxfId="12" priority="3" operator="between">
      <formula>36.07</formula>
      <formula>36.13</formula>
    </cfRule>
  </conditionalFormatting>
  <conditionalFormatting sqref="H5:H96">
    <cfRule type="cellIs" dxfId="4" priority="4" operator="notBetween">
      <formula>36.07</formula>
      <formula>36.13</formula>
    </cfRule>
  </conditionalFormatting>
  <conditionalFormatting sqref="J5:J95">
    <cfRule type="cellIs" dxfId="12" priority="5" operator="between">
      <formula>9.4</formula>
      <formula>9.8</formula>
    </cfRule>
  </conditionalFormatting>
  <conditionalFormatting sqref="J5:J95">
    <cfRule type="cellIs" dxfId="4" priority="6" operator="notBetween">
      <formula>9.4</formula>
      <formula>9.8</formula>
    </cfRule>
  </conditionalFormatting>
  <conditionalFormatting sqref="I5:I96">
    <cfRule type="cellIs" dxfId="12" priority="7" operator="between">
      <formula>7.972</formula>
      <formula>7.987</formula>
    </cfRule>
  </conditionalFormatting>
  <conditionalFormatting sqref="I5:I96">
    <cfRule type="cellIs" dxfId="4" priority="8" operator="notBetween">
      <formula>7.972</formula>
      <formula>7.987</formula>
    </cfRule>
  </conditionalFormatting>
  <dataValidations>
    <dataValidation type="list" allowBlank="1" showErrorMessage="1" sqref="F5:F96">
      <formula1>"OUI,NON"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5" max="5" width="19.5"/>
    <col customWidth="1" min="10" max="10" width="14.0"/>
    <col customWidth="1" min="11" max="11" width="10.75"/>
    <col customWidth="1" min="12" max="12" width="31.0"/>
    <col customWidth="1" min="13" max="13" width="18.5"/>
    <col customWidth="1" min="14" max="14" width="18.0"/>
  </cols>
  <sheetData>
    <row r="1">
      <c r="A1" s="158" t="s">
        <v>173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141" t="s">
        <v>138</v>
      </c>
    </row>
    <row r="5">
      <c r="A5" s="164">
        <v>1.0</v>
      </c>
      <c r="B5" s="172"/>
      <c r="C5" s="172"/>
      <c r="D5" s="171">
        <v>0.0</v>
      </c>
      <c r="E5" s="171">
        <v>0.0</v>
      </c>
      <c r="F5" s="172"/>
      <c r="G5" s="172"/>
      <c r="H5" s="172"/>
      <c r="I5" s="168"/>
      <c r="J5" s="169">
        <f t="shared" ref="J5:J81" si="1">E5-D5</f>
        <v>0</v>
      </c>
      <c r="L5" s="118">
        <f>COUNTIF(F5:F81,"OUI")</f>
        <v>0</v>
      </c>
      <c r="M5" s="109" t="s">
        <v>106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72"/>
      <c r="H6" s="172"/>
      <c r="I6" s="168"/>
      <c r="J6" s="169">
        <f t="shared" si="1"/>
        <v>0</v>
      </c>
    </row>
    <row r="7">
      <c r="A7" s="164">
        <v>3.0</v>
      </c>
      <c r="B7" s="168"/>
      <c r="C7" s="168"/>
      <c r="D7" s="171">
        <v>0.0</v>
      </c>
      <c r="E7" s="171">
        <v>0.0</v>
      </c>
      <c r="F7" s="172"/>
      <c r="G7" s="172"/>
      <c r="H7" s="172"/>
      <c r="I7" s="168"/>
      <c r="J7" s="169">
        <f t="shared" si="1"/>
        <v>0</v>
      </c>
      <c r="L7" s="141" t="s">
        <v>139</v>
      </c>
    </row>
    <row r="8">
      <c r="A8" s="164">
        <v>4.0</v>
      </c>
      <c r="B8" s="168"/>
      <c r="C8" s="168"/>
      <c r="D8" s="171">
        <v>0.0</v>
      </c>
      <c r="E8" s="171">
        <v>0.0</v>
      </c>
      <c r="F8" s="172"/>
      <c r="G8" s="172"/>
      <c r="H8" s="172"/>
      <c r="I8" s="168"/>
      <c r="J8" s="169">
        <f t="shared" si="1"/>
        <v>0</v>
      </c>
      <c r="L8" s="142">
        <f>COUNTIF(F5:F84,"NON")+L5</f>
        <v>0</v>
      </c>
    </row>
    <row r="9">
      <c r="A9" s="164">
        <v>5.0</v>
      </c>
      <c r="B9" s="168"/>
      <c r="C9" s="168"/>
      <c r="D9" s="171">
        <v>0.0</v>
      </c>
      <c r="E9" s="171">
        <v>0.0</v>
      </c>
      <c r="F9" s="172"/>
      <c r="G9" s="172"/>
      <c r="H9" s="172"/>
      <c r="I9" s="168"/>
      <c r="J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72"/>
      <c r="G10" s="172"/>
      <c r="H10" s="172"/>
      <c r="I10" s="168"/>
      <c r="J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72"/>
      <c r="G11" s="172"/>
      <c r="H11" s="172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72"/>
      <c r="G12" s="172"/>
      <c r="H12" s="172"/>
      <c r="I12" s="168"/>
      <c r="J12" s="169">
        <f t="shared" si="1"/>
        <v>0</v>
      </c>
      <c r="O12" s="176"/>
    </row>
    <row r="13">
      <c r="A13" s="164">
        <v>9.0</v>
      </c>
      <c r="B13" s="168"/>
      <c r="C13" s="168"/>
      <c r="D13" s="171">
        <v>0.0</v>
      </c>
      <c r="E13" s="171">
        <v>0.0</v>
      </c>
      <c r="F13" s="172"/>
      <c r="G13" s="172"/>
      <c r="H13" s="172"/>
      <c r="I13" s="168"/>
      <c r="J13" s="169">
        <f t="shared" si="1"/>
        <v>0</v>
      </c>
      <c r="O13" s="176"/>
    </row>
    <row r="14">
      <c r="A14" s="164">
        <v>10.0</v>
      </c>
      <c r="B14" s="168"/>
      <c r="C14" s="168"/>
      <c r="D14" s="171">
        <v>0.0</v>
      </c>
      <c r="E14" s="171">
        <v>0.0</v>
      </c>
      <c r="F14" s="172"/>
      <c r="G14" s="172"/>
      <c r="H14" s="172"/>
      <c r="I14" s="168"/>
      <c r="J14" s="169">
        <f t="shared" si="1"/>
        <v>0</v>
      </c>
      <c r="O14" s="176"/>
    </row>
    <row r="15">
      <c r="A15" s="164">
        <v>11.0</v>
      </c>
      <c r="B15" s="168"/>
      <c r="C15" s="168"/>
      <c r="D15" s="171">
        <v>0.0</v>
      </c>
      <c r="E15" s="171">
        <v>0.0</v>
      </c>
      <c r="F15" s="172"/>
      <c r="G15" s="172"/>
      <c r="H15" s="172"/>
      <c r="I15" s="168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168"/>
      <c r="C16" s="168"/>
      <c r="D16" s="171">
        <v>0.0</v>
      </c>
      <c r="E16" s="171">
        <v>0.0</v>
      </c>
      <c r="F16" s="172"/>
      <c r="G16" s="172"/>
      <c r="H16" s="172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72"/>
      <c r="G17" s="172"/>
      <c r="H17" s="172"/>
      <c r="I17" s="168"/>
      <c r="J17" s="169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72"/>
      <c r="G18" s="172"/>
      <c r="H18" s="172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72"/>
      <c r="G19" s="172"/>
      <c r="H19" s="172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72"/>
      <c r="G20" s="172"/>
      <c r="H20" s="172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72"/>
      <c r="G21" s="172"/>
      <c r="H21" s="172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72"/>
      <c r="G22" s="172"/>
      <c r="H22" s="172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72"/>
      <c r="G23" s="172"/>
      <c r="H23" s="172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72"/>
      <c r="G24" s="172"/>
      <c r="H24" s="172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72"/>
      <c r="G25" s="172"/>
      <c r="H25" s="172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72"/>
      <c r="G26" s="172"/>
      <c r="H26" s="172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72"/>
      <c r="G27" s="172"/>
      <c r="H27" s="172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72"/>
      <c r="G28" s="172"/>
      <c r="H28" s="172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72"/>
      <c r="G29" s="172"/>
      <c r="H29" s="172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72"/>
      <c r="G30" s="172"/>
      <c r="H30" s="172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72"/>
      <c r="G31" s="172"/>
      <c r="H31" s="172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72"/>
      <c r="G32" s="172"/>
      <c r="H32" s="172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72"/>
      <c r="G33" s="172"/>
      <c r="H33" s="172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72"/>
      <c r="G34" s="172"/>
      <c r="H34" s="172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72"/>
      <c r="G35" s="172"/>
      <c r="H35" s="172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72"/>
      <c r="G36" s="172"/>
      <c r="H36" s="172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72"/>
      <c r="G37" s="172"/>
      <c r="H37" s="172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72"/>
      <c r="G38" s="172"/>
      <c r="H38" s="172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72"/>
      <c r="G39" s="172"/>
      <c r="H39" s="172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72"/>
      <c r="G40" s="172"/>
      <c r="H40" s="172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72"/>
      <c r="G41" s="172"/>
      <c r="H41" s="172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72"/>
      <c r="G42" s="172"/>
      <c r="H42" s="172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72"/>
      <c r="G43" s="172"/>
      <c r="H43" s="172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72"/>
      <c r="G44" s="172"/>
      <c r="H44" s="172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72"/>
      <c r="G45" s="172"/>
      <c r="H45" s="172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72"/>
      <c r="G46" s="172"/>
      <c r="H46" s="172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72"/>
      <c r="G47" s="172"/>
      <c r="H47" s="172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72"/>
      <c r="G48" s="172"/>
      <c r="H48" s="172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19.5"/>
    <col customWidth="1" min="10" max="10" width="15.13"/>
    <col customWidth="1" min="12" max="12" width="32.75"/>
    <col customWidth="1" min="13" max="14" width="18.38"/>
  </cols>
  <sheetData>
    <row r="1">
      <c r="A1" s="158" t="s">
        <v>174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8"/>
      <c r="C5" s="168"/>
      <c r="D5" s="171">
        <v>0.0</v>
      </c>
      <c r="E5" s="171">
        <v>0.0</v>
      </c>
      <c r="F5" s="172"/>
      <c r="G5" s="168"/>
      <c r="H5" s="168"/>
      <c r="I5" s="168"/>
      <c r="J5" s="169">
        <f t="shared" ref="J5:J81" si="1">E5-D5</f>
        <v>0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</row>
    <row r="7">
      <c r="A7" s="164">
        <v>3.0</v>
      </c>
      <c r="B7" s="168"/>
      <c r="C7" s="168"/>
      <c r="D7" s="171">
        <v>0.0</v>
      </c>
      <c r="E7" s="171">
        <v>0.0</v>
      </c>
      <c r="F7" s="172"/>
      <c r="G7" s="168"/>
      <c r="H7" s="168"/>
      <c r="I7" s="168"/>
      <c r="J7" s="169">
        <f t="shared" si="1"/>
        <v>0</v>
      </c>
    </row>
    <row r="8">
      <c r="A8" s="164">
        <v>4.0</v>
      </c>
      <c r="B8" s="168"/>
      <c r="C8" s="168"/>
      <c r="D8" s="171">
        <v>0.0</v>
      </c>
      <c r="E8" s="171">
        <v>0.0</v>
      </c>
      <c r="F8" s="172"/>
      <c r="G8" s="168"/>
      <c r="H8" s="168"/>
      <c r="I8" s="168"/>
      <c r="J8" s="169">
        <f t="shared" si="1"/>
        <v>0</v>
      </c>
    </row>
    <row r="9">
      <c r="A9" s="164">
        <v>5.0</v>
      </c>
      <c r="B9" s="168"/>
      <c r="C9" s="168"/>
      <c r="D9" s="171">
        <v>0.0</v>
      </c>
      <c r="E9" s="171">
        <v>0.0</v>
      </c>
      <c r="F9" s="172"/>
      <c r="G9" s="168"/>
      <c r="H9" s="168"/>
      <c r="I9" s="168"/>
      <c r="J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72"/>
      <c r="G10" s="168"/>
      <c r="H10" s="168"/>
      <c r="I10" s="168"/>
      <c r="J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72"/>
      <c r="G11" s="168"/>
      <c r="H11" s="168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72"/>
      <c r="G12" s="168"/>
      <c r="H12" s="168"/>
      <c r="I12" s="168"/>
      <c r="J12" s="169">
        <f t="shared" si="1"/>
        <v>0</v>
      </c>
      <c r="O12" s="176"/>
    </row>
    <row r="13">
      <c r="A13" s="164">
        <v>9.0</v>
      </c>
      <c r="B13" s="168"/>
      <c r="C13" s="168"/>
      <c r="D13" s="171">
        <v>0.0</v>
      </c>
      <c r="E13" s="171">
        <v>0.0</v>
      </c>
      <c r="F13" s="172"/>
      <c r="G13" s="168"/>
      <c r="H13" s="168"/>
      <c r="I13" s="168"/>
      <c r="J13" s="169">
        <f t="shared" si="1"/>
        <v>0</v>
      </c>
      <c r="O13" s="176"/>
    </row>
    <row r="14">
      <c r="A14" s="164">
        <v>10.0</v>
      </c>
      <c r="B14" s="168"/>
      <c r="C14" s="168"/>
      <c r="D14" s="171">
        <v>0.0</v>
      </c>
      <c r="E14" s="171">
        <v>0.0</v>
      </c>
      <c r="F14" s="172"/>
      <c r="G14" s="168"/>
      <c r="H14" s="168"/>
      <c r="I14" s="168"/>
      <c r="J14" s="169">
        <f t="shared" si="1"/>
        <v>0</v>
      </c>
      <c r="O14" s="176"/>
    </row>
    <row r="15">
      <c r="A15" s="164">
        <v>11.0</v>
      </c>
      <c r="B15" s="168"/>
      <c r="C15" s="168"/>
      <c r="D15" s="171">
        <v>0.0</v>
      </c>
      <c r="E15" s="171">
        <v>0.0</v>
      </c>
      <c r="F15" s="172"/>
      <c r="G15" s="168"/>
      <c r="H15" s="168"/>
      <c r="I15" s="168"/>
      <c r="J15" s="169">
        <f t="shared" si="1"/>
        <v>0</v>
      </c>
      <c r="O15" s="176"/>
    </row>
    <row r="16">
      <c r="A16" s="164">
        <v>12.0</v>
      </c>
      <c r="B16" s="168"/>
      <c r="C16" s="168"/>
      <c r="D16" s="171">
        <v>0.0</v>
      </c>
      <c r="E16" s="171">
        <v>0.0</v>
      </c>
      <c r="F16" s="172"/>
      <c r="G16" s="168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72"/>
      <c r="G17" s="168"/>
      <c r="H17" s="168"/>
      <c r="I17" s="168"/>
      <c r="J17" s="169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72"/>
      <c r="G18" s="168"/>
      <c r="H18" s="168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72"/>
      <c r="G19" s="168"/>
      <c r="H19" s="168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72"/>
      <c r="G20" s="168"/>
      <c r="H20" s="168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72"/>
      <c r="G21" s="168"/>
      <c r="H21" s="168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72"/>
      <c r="G22" s="168"/>
      <c r="H22" s="168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72"/>
      <c r="G23" s="168"/>
      <c r="H23" s="168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72"/>
      <c r="G24" s="168"/>
      <c r="H24" s="168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72"/>
      <c r="G25" s="168"/>
      <c r="H25" s="168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72"/>
      <c r="G26" s="168"/>
      <c r="H26" s="168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72"/>
      <c r="G27" s="168"/>
      <c r="H27" s="168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72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72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72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72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72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72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72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72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72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72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72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72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72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72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72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72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72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72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72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72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72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72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72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72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72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72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72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72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72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72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72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72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72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72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72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72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72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72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72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72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72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72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72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72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72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72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72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72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72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72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72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72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72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72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5" max="5" width="17.63"/>
    <col customWidth="1" min="7" max="7" width="15.63"/>
    <col customWidth="1" min="11" max="11" width="12.25"/>
    <col customWidth="1" min="12" max="12" width="29.63"/>
    <col customWidth="1" min="13" max="13" width="17.38"/>
    <col customWidth="1" min="14" max="14" width="17.88"/>
  </cols>
  <sheetData>
    <row r="1">
      <c r="A1" s="208" t="s">
        <v>140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8"/>
      <c r="C5" s="168"/>
      <c r="D5" s="171">
        <v>0.0</v>
      </c>
      <c r="E5" s="171">
        <v>0.0</v>
      </c>
      <c r="F5" s="172"/>
      <c r="G5" s="168"/>
      <c r="H5" s="168"/>
      <c r="I5" s="168"/>
      <c r="J5" s="169">
        <f t="shared" ref="J5:J81" si="1">E5-D5</f>
        <v>0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</row>
    <row r="7">
      <c r="A7" s="164">
        <v>3.0</v>
      </c>
      <c r="B7" s="168"/>
      <c r="C7" s="168"/>
      <c r="D7" s="171">
        <v>0.0</v>
      </c>
      <c r="E7" s="171">
        <v>0.0</v>
      </c>
      <c r="F7" s="168"/>
      <c r="G7" s="168"/>
      <c r="H7" s="168"/>
      <c r="I7" s="168"/>
      <c r="J7" s="169">
        <f t="shared" si="1"/>
        <v>0</v>
      </c>
    </row>
    <row r="8">
      <c r="A8" s="164">
        <v>4.0</v>
      </c>
      <c r="B8" s="168"/>
      <c r="C8" s="168"/>
      <c r="D8" s="171">
        <v>0.0</v>
      </c>
      <c r="E8" s="171">
        <v>0.0</v>
      </c>
      <c r="F8" s="168"/>
      <c r="G8" s="168"/>
      <c r="H8" s="168"/>
      <c r="I8" s="168"/>
      <c r="J8" s="169">
        <f t="shared" si="1"/>
        <v>0</v>
      </c>
    </row>
    <row r="9">
      <c r="A9" s="164">
        <v>5.0</v>
      </c>
      <c r="B9" s="168"/>
      <c r="C9" s="168"/>
      <c r="D9" s="171">
        <v>0.0</v>
      </c>
      <c r="E9" s="171">
        <v>0.0</v>
      </c>
      <c r="F9" s="168"/>
      <c r="G9" s="168"/>
      <c r="H9" s="168"/>
      <c r="I9" s="168"/>
      <c r="J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68"/>
      <c r="G10" s="168"/>
      <c r="H10" s="168"/>
      <c r="I10" s="168"/>
      <c r="J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68"/>
      <c r="G11" s="168"/>
      <c r="H11" s="168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68"/>
      <c r="G12" s="168"/>
      <c r="H12" s="168"/>
      <c r="I12" s="168"/>
      <c r="J12" s="169">
        <f t="shared" si="1"/>
        <v>0</v>
      </c>
      <c r="O12" s="176"/>
    </row>
    <row r="13">
      <c r="A13" s="164">
        <v>9.0</v>
      </c>
      <c r="B13" s="168"/>
      <c r="C13" s="168"/>
      <c r="D13" s="171">
        <v>0.0</v>
      </c>
      <c r="E13" s="171">
        <v>0.0</v>
      </c>
      <c r="F13" s="168"/>
      <c r="G13" s="168"/>
      <c r="H13" s="168"/>
      <c r="I13" s="168"/>
      <c r="J13" s="169">
        <f t="shared" si="1"/>
        <v>0</v>
      </c>
      <c r="O13" s="176"/>
    </row>
    <row r="14">
      <c r="A14" s="164">
        <v>10.0</v>
      </c>
      <c r="B14" s="168"/>
      <c r="C14" s="168"/>
      <c r="D14" s="171">
        <v>0.0</v>
      </c>
      <c r="E14" s="171">
        <v>0.0</v>
      </c>
      <c r="F14" s="168"/>
      <c r="G14" s="168"/>
      <c r="H14" s="168"/>
      <c r="I14" s="168"/>
      <c r="J14" s="169">
        <f t="shared" si="1"/>
        <v>0</v>
      </c>
      <c r="O14" s="176"/>
    </row>
    <row r="15">
      <c r="A15" s="164">
        <v>11.0</v>
      </c>
      <c r="B15" s="168"/>
      <c r="C15" s="168"/>
      <c r="D15" s="171">
        <v>0.0</v>
      </c>
      <c r="E15" s="171">
        <v>0.0</v>
      </c>
      <c r="F15" s="168"/>
      <c r="G15" s="168"/>
      <c r="H15" s="168"/>
      <c r="I15" s="168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168"/>
      <c r="C16" s="168"/>
      <c r="D16" s="171">
        <v>0.0</v>
      </c>
      <c r="E16" s="171">
        <v>0.0</v>
      </c>
      <c r="F16" s="168"/>
      <c r="G16" s="168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68"/>
      <c r="G17" s="168"/>
      <c r="H17" s="168"/>
      <c r="I17" s="168"/>
      <c r="J17" s="169">
        <f t="shared" si="1"/>
        <v>0</v>
      </c>
      <c r="L17" s="199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68"/>
      <c r="G18" s="168"/>
      <c r="H18" s="168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68"/>
      <c r="G19" s="168"/>
      <c r="H19" s="168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68"/>
      <c r="G20" s="168"/>
      <c r="H20" s="168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68"/>
      <c r="G21" s="168"/>
      <c r="H21" s="168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68"/>
      <c r="G22" s="168"/>
      <c r="H22" s="168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68"/>
      <c r="G23" s="168"/>
      <c r="H23" s="168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68"/>
      <c r="G24" s="168"/>
      <c r="H24" s="168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68"/>
      <c r="G25" s="168"/>
      <c r="H25" s="168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68"/>
      <c r="G26" s="168"/>
      <c r="H26" s="168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68"/>
      <c r="G27" s="168"/>
      <c r="H27" s="168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  <row r="1000">
      <c r="B1000" s="209">
        <v>45776.0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4" max="4" width="20.88"/>
    <col customWidth="1" min="5" max="5" width="18.88"/>
    <col customWidth="1" min="11" max="11" width="14.88"/>
    <col customWidth="1" min="12" max="12" width="10.75"/>
    <col customWidth="1" min="13" max="13" width="30.5"/>
    <col customWidth="1" min="14" max="14" width="19.0"/>
    <col customWidth="1" min="15" max="15" width="17.88"/>
  </cols>
  <sheetData>
    <row r="1">
      <c r="A1" s="158" t="s">
        <v>175</v>
      </c>
      <c r="B1" s="120"/>
      <c r="C1" s="120"/>
      <c r="D1" s="120"/>
      <c r="E1" s="120"/>
      <c r="F1" s="120"/>
      <c r="G1" s="120"/>
      <c r="H1" s="120"/>
      <c r="I1" s="120"/>
      <c r="J1" s="120"/>
      <c r="K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30"/>
    </row>
    <row r="3">
      <c r="A3" s="146" t="s">
        <v>117</v>
      </c>
      <c r="B3" s="147" t="s">
        <v>118</v>
      </c>
      <c r="C3" s="147" t="s">
        <v>119</v>
      </c>
      <c r="D3" s="147" t="s">
        <v>120</v>
      </c>
      <c r="E3" s="147" t="s">
        <v>121</v>
      </c>
      <c r="F3" s="148" t="s">
        <v>122</v>
      </c>
      <c r="G3" s="143" t="s">
        <v>176</v>
      </c>
      <c r="H3" s="143" t="s">
        <v>177</v>
      </c>
      <c r="I3" s="143" t="s">
        <v>178</v>
      </c>
      <c r="J3" s="143" t="s">
        <v>179</v>
      </c>
      <c r="K3" s="149" t="s">
        <v>126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>
      <c r="A5" s="164">
        <v>1.0</v>
      </c>
      <c r="B5" s="168"/>
      <c r="C5" s="152" t="s">
        <v>60</v>
      </c>
      <c r="D5" s="210"/>
      <c r="E5" s="167"/>
      <c r="F5" s="172"/>
      <c r="G5" s="168"/>
      <c r="H5" s="168"/>
      <c r="I5" s="168"/>
      <c r="J5" s="168"/>
      <c r="K5" s="169">
        <f t="shared" ref="K5:K81" si="1">E5-D5</f>
        <v>0</v>
      </c>
      <c r="M5" s="141" t="s">
        <v>138</v>
      </c>
    </row>
    <row r="6">
      <c r="A6" s="164">
        <v>2.0</v>
      </c>
      <c r="B6" s="168"/>
      <c r="C6" s="152" t="s">
        <v>60</v>
      </c>
      <c r="D6" s="171"/>
      <c r="E6" s="171"/>
      <c r="F6" s="172"/>
      <c r="G6" s="168"/>
      <c r="H6" s="168"/>
      <c r="I6" s="168"/>
      <c r="J6" s="168"/>
      <c r="K6" s="169">
        <f t="shared" si="1"/>
        <v>0</v>
      </c>
      <c r="M6" s="118">
        <f>COUNTIF(F5:F81,"OUI")</f>
        <v>0</v>
      </c>
      <c r="N6" s="109" t="s">
        <v>170</v>
      </c>
    </row>
    <row r="7">
      <c r="A7" s="164">
        <v>3.0</v>
      </c>
      <c r="B7" s="168"/>
      <c r="C7" s="152" t="s">
        <v>60</v>
      </c>
      <c r="D7" s="171"/>
      <c r="E7" s="171"/>
      <c r="F7" s="172"/>
      <c r="G7" s="168"/>
      <c r="H7" s="168"/>
      <c r="I7" s="168"/>
      <c r="J7" s="168"/>
      <c r="K7" s="169">
        <f t="shared" si="1"/>
        <v>0</v>
      </c>
    </row>
    <row r="8">
      <c r="A8" s="164">
        <v>4.0</v>
      </c>
      <c r="B8" s="168"/>
      <c r="C8" s="152" t="s">
        <v>60</v>
      </c>
      <c r="D8" s="171"/>
      <c r="E8" s="171"/>
      <c r="F8" s="172"/>
      <c r="G8" s="168"/>
      <c r="H8" s="168"/>
      <c r="I8" s="168"/>
      <c r="J8" s="168"/>
      <c r="K8" s="169">
        <f t="shared" si="1"/>
        <v>0</v>
      </c>
      <c r="M8" s="141" t="s">
        <v>139</v>
      </c>
    </row>
    <row r="9">
      <c r="A9" s="164">
        <v>5.0</v>
      </c>
      <c r="B9" s="168"/>
      <c r="C9" s="152" t="s">
        <v>60</v>
      </c>
      <c r="D9" s="171"/>
      <c r="E9" s="171"/>
      <c r="F9" s="172"/>
      <c r="G9" s="168"/>
      <c r="H9" s="168"/>
      <c r="I9" s="168"/>
      <c r="J9" s="168"/>
      <c r="K9" s="169">
        <f t="shared" si="1"/>
        <v>0</v>
      </c>
      <c r="M9" s="142">
        <f>COUNTIF(F5:F84,"NON")+M6</f>
        <v>0</v>
      </c>
    </row>
    <row r="10">
      <c r="A10" s="164">
        <v>6.0</v>
      </c>
      <c r="B10" s="168"/>
      <c r="C10" s="152" t="s">
        <v>60</v>
      </c>
      <c r="D10" s="171"/>
      <c r="E10" s="171"/>
      <c r="F10" s="172"/>
      <c r="G10" s="168"/>
      <c r="H10" s="168"/>
      <c r="I10" s="168"/>
      <c r="J10" s="168"/>
      <c r="K10" s="169">
        <f t="shared" si="1"/>
        <v>0</v>
      </c>
    </row>
    <row r="11">
      <c r="A11" s="164">
        <v>7.0</v>
      </c>
      <c r="B11" s="168"/>
      <c r="C11" s="152" t="s">
        <v>60</v>
      </c>
      <c r="D11" s="171"/>
      <c r="E11" s="171"/>
      <c r="F11" s="172"/>
      <c r="G11" s="168"/>
      <c r="H11" s="168"/>
      <c r="I11" s="168"/>
      <c r="J11" s="168"/>
      <c r="K11" s="169">
        <f t="shared" si="1"/>
        <v>0</v>
      </c>
    </row>
    <row r="12">
      <c r="A12" s="164">
        <v>8.0</v>
      </c>
      <c r="B12" s="168"/>
      <c r="C12" s="152" t="s">
        <v>60</v>
      </c>
      <c r="D12" s="171"/>
      <c r="E12" s="171"/>
      <c r="F12" s="172"/>
      <c r="G12" s="168"/>
      <c r="H12" s="168"/>
      <c r="I12" s="168"/>
      <c r="J12" s="168"/>
      <c r="K12" s="169">
        <f t="shared" si="1"/>
        <v>0</v>
      </c>
      <c r="P12" s="176"/>
    </row>
    <row r="13">
      <c r="A13" s="164">
        <v>9.0</v>
      </c>
      <c r="B13" s="168"/>
      <c r="C13" s="152" t="s">
        <v>60</v>
      </c>
      <c r="D13" s="171"/>
      <c r="E13" s="171"/>
      <c r="F13" s="172"/>
      <c r="G13" s="168"/>
      <c r="H13" s="168"/>
      <c r="I13" s="168"/>
      <c r="J13" s="168"/>
      <c r="K13" s="169">
        <f t="shared" si="1"/>
        <v>0</v>
      </c>
      <c r="P13" s="176"/>
    </row>
    <row r="14">
      <c r="A14" s="164">
        <v>10.0</v>
      </c>
      <c r="B14" s="168"/>
      <c r="C14" s="152" t="s">
        <v>60</v>
      </c>
      <c r="D14" s="171"/>
      <c r="E14" s="171"/>
      <c r="F14" s="172"/>
      <c r="G14" s="168"/>
      <c r="H14" s="168"/>
      <c r="I14" s="168"/>
      <c r="J14" s="168"/>
      <c r="K14" s="169">
        <f t="shared" si="1"/>
        <v>0</v>
      </c>
      <c r="P14" s="176"/>
    </row>
    <row r="15">
      <c r="A15" s="164">
        <v>11.0</v>
      </c>
      <c r="B15" s="168"/>
      <c r="C15" s="152" t="s">
        <v>60</v>
      </c>
      <c r="D15" s="171"/>
      <c r="E15" s="171"/>
      <c r="F15" s="172"/>
      <c r="G15" s="168"/>
      <c r="H15" s="168"/>
      <c r="I15" s="168"/>
      <c r="J15" s="168"/>
      <c r="K15" s="169">
        <f t="shared" si="1"/>
        <v>0</v>
      </c>
      <c r="M15" s="176"/>
      <c r="N15" s="176"/>
      <c r="O15" s="176"/>
      <c r="P15" s="176"/>
    </row>
    <row r="16">
      <c r="A16" s="164">
        <v>12.0</v>
      </c>
      <c r="B16" s="168"/>
      <c r="C16" s="152" t="s">
        <v>60</v>
      </c>
      <c r="D16" s="171"/>
      <c r="E16" s="171"/>
      <c r="F16" s="172"/>
      <c r="G16" s="168"/>
      <c r="H16" s="168"/>
      <c r="I16" s="168"/>
      <c r="J16" s="168"/>
      <c r="K16" s="169">
        <f t="shared" si="1"/>
        <v>0</v>
      </c>
      <c r="M16" s="73" t="s">
        <v>129</v>
      </c>
      <c r="N16" s="73" t="s">
        <v>130</v>
      </c>
      <c r="O16" s="73" t="s">
        <v>131</v>
      </c>
      <c r="P16" s="73" t="s">
        <v>132</v>
      </c>
      <c r="Q16" s="73" t="s">
        <v>133</v>
      </c>
    </row>
    <row r="17">
      <c r="A17" s="164">
        <v>13.0</v>
      </c>
      <c r="B17" s="168"/>
      <c r="C17" s="152" t="s">
        <v>60</v>
      </c>
      <c r="D17" s="171"/>
      <c r="E17" s="171"/>
      <c r="F17" s="172"/>
      <c r="G17" s="168"/>
      <c r="H17" s="168"/>
      <c r="I17" s="168"/>
      <c r="J17" s="168"/>
      <c r="K17" s="169">
        <f t="shared" si="1"/>
        <v>0</v>
      </c>
      <c r="M17" s="177">
        <f>COUNTA(F5:F92)</f>
        <v>0</v>
      </c>
      <c r="N17" s="177">
        <f>COUNTIF(F5:F93,"non")</f>
        <v>0</v>
      </c>
      <c r="O17" s="177">
        <f>COUNTIF(F5:F92,"oui")</f>
        <v>0</v>
      </c>
      <c r="P17" s="211" t="str">
        <f>(M17-N17)/M17</f>
        <v>#DIV/0!</v>
      </c>
      <c r="Q17" s="139" t="str">
        <f>AVERAGEIF(K$5:K$200,"&lt;&gt;0")</f>
        <v>#DIV/0!</v>
      </c>
    </row>
    <row r="18">
      <c r="A18" s="164">
        <v>14.0</v>
      </c>
      <c r="B18" s="168"/>
      <c r="C18" s="152" t="s">
        <v>60</v>
      </c>
      <c r="D18" s="171"/>
      <c r="E18" s="171"/>
      <c r="F18" s="172"/>
      <c r="G18" s="168"/>
      <c r="H18" s="168"/>
      <c r="I18" s="168"/>
      <c r="J18" s="168"/>
      <c r="K18" s="169">
        <f t="shared" si="1"/>
        <v>0</v>
      </c>
    </row>
    <row r="19">
      <c r="A19" s="164">
        <v>15.0</v>
      </c>
      <c r="B19" s="168"/>
      <c r="C19" s="152" t="s">
        <v>60</v>
      </c>
      <c r="D19" s="171"/>
      <c r="E19" s="171"/>
      <c r="F19" s="172"/>
      <c r="G19" s="168"/>
      <c r="H19" s="168"/>
      <c r="I19" s="168"/>
      <c r="J19" s="168"/>
      <c r="K19" s="169">
        <f t="shared" si="1"/>
        <v>0</v>
      </c>
    </row>
    <row r="20">
      <c r="A20" s="164">
        <v>16.0</v>
      </c>
      <c r="B20" s="168"/>
      <c r="C20" s="152" t="s">
        <v>60</v>
      </c>
      <c r="D20" s="171"/>
      <c r="E20" s="171"/>
      <c r="F20" s="172"/>
      <c r="G20" s="168"/>
      <c r="H20" s="168"/>
      <c r="I20" s="168"/>
      <c r="J20" s="168"/>
      <c r="K20" s="169">
        <f t="shared" si="1"/>
        <v>0</v>
      </c>
    </row>
    <row r="21">
      <c r="A21" s="164">
        <v>17.0</v>
      </c>
      <c r="B21" s="168"/>
      <c r="C21" s="152" t="s">
        <v>60</v>
      </c>
      <c r="D21" s="171"/>
      <c r="E21" s="171"/>
      <c r="F21" s="172"/>
      <c r="G21" s="168"/>
      <c r="H21" s="168"/>
      <c r="I21" s="168"/>
      <c r="J21" s="168"/>
      <c r="K21" s="169">
        <f t="shared" si="1"/>
        <v>0</v>
      </c>
    </row>
    <row r="22">
      <c r="A22" s="164">
        <v>18.0</v>
      </c>
      <c r="B22" s="168"/>
      <c r="C22" s="152" t="s">
        <v>60</v>
      </c>
      <c r="D22" s="171"/>
      <c r="E22" s="171"/>
      <c r="F22" s="172"/>
      <c r="G22" s="168"/>
      <c r="H22" s="168"/>
      <c r="I22" s="168"/>
      <c r="J22" s="168"/>
      <c r="K22" s="169">
        <f t="shared" si="1"/>
        <v>0</v>
      </c>
    </row>
    <row r="23">
      <c r="A23" s="164">
        <v>19.0</v>
      </c>
      <c r="B23" s="168"/>
      <c r="C23" s="152" t="s">
        <v>60</v>
      </c>
      <c r="D23" s="171"/>
      <c r="E23" s="171"/>
      <c r="F23" s="172"/>
      <c r="G23" s="168"/>
      <c r="H23" s="168"/>
      <c r="I23" s="168"/>
      <c r="J23" s="168"/>
      <c r="K23" s="169">
        <f t="shared" si="1"/>
        <v>0</v>
      </c>
    </row>
    <row r="24">
      <c r="A24" s="164">
        <v>20.0</v>
      </c>
      <c r="B24" s="168"/>
      <c r="C24" s="152" t="s">
        <v>60</v>
      </c>
      <c r="D24" s="171"/>
      <c r="E24" s="171"/>
      <c r="F24" s="172"/>
      <c r="G24" s="168"/>
      <c r="H24" s="168"/>
      <c r="I24" s="168"/>
      <c r="J24" s="168"/>
      <c r="K24" s="169">
        <f t="shared" si="1"/>
        <v>0</v>
      </c>
    </row>
    <row r="25">
      <c r="A25" s="164">
        <v>21.0</v>
      </c>
      <c r="B25" s="168"/>
      <c r="C25" s="152" t="s">
        <v>60</v>
      </c>
      <c r="D25" s="171"/>
      <c r="E25" s="171"/>
      <c r="F25" s="172"/>
      <c r="G25" s="168"/>
      <c r="H25" s="168"/>
      <c r="I25" s="168"/>
      <c r="J25" s="168"/>
      <c r="K25" s="169">
        <f t="shared" si="1"/>
        <v>0</v>
      </c>
    </row>
    <row r="26">
      <c r="A26" s="164">
        <v>22.0</v>
      </c>
      <c r="B26" s="168"/>
      <c r="C26" s="152" t="s">
        <v>60</v>
      </c>
      <c r="D26" s="171"/>
      <c r="E26" s="171"/>
      <c r="F26" s="172"/>
      <c r="G26" s="168"/>
      <c r="H26" s="168"/>
      <c r="I26" s="168"/>
      <c r="J26" s="168"/>
      <c r="K26" s="169">
        <f t="shared" si="1"/>
        <v>0</v>
      </c>
    </row>
    <row r="27">
      <c r="A27" s="164">
        <v>23.0</v>
      </c>
      <c r="B27" s="168"/>
      <c r="C27" s="152" t="s">
        <v>60</v>
      </c>
      <c r="D27" s="171"/>
      <c r="E27" s="171"/>
      <c r="F27" s="172"/>
      <c r="G27" s="168"/>
      <c r="H27" s="168"/>
      <c r="I27" s="168"/>
      <c r="J27" s="168"/>
      <c r="K27" s="169">
        <f t="shared" si="1"/>
        <v>0</v>
      </c>
    </row>
    <row r="28">
      <c r="A28" s="164">
        <v>24.0</v>
      </c>
      <c r="B28" s="168"/>
      <c r="C28" s="152" t="s">
        <v>60</v>
      </c>
      <c r="D28" s="171"/>
      <c r="E28" s="171"/>
      <c r="F28" s="172"/>
      <c r="G28" s="168"/>
      <c r="H28" s="168"/>
      <c r="I28" s="168"/>
      <c r="J28" s="168"/>
      <c r="K28" s="169">
        <f t="shared" si="1"/>
        <v>0</v>
      </c>
    </row>
    <row r="29">
      <c r="A29" s="164">
        <v>25.0</v>
      </c>
      <c r="B29" s="168"/>
      <c r="C29" s="152" t="s">
        <v>60</v>
      </c>
      <c r="D29" s="171"/>
      <c r="E29" s="171"/>
      <c r="F29" s="172"/>
      <c r="G29" s="168"/>
      <c r="H29" s="168"/>
      <c r="I29" s="168"/>
      <c r="J29" s="168"/>
      <c r="K29" s="169">
        <f t="shared" si="1"/>
        <v>0</v>
      </c>
    </row>
    <row r="30">
      <c r="A30" s="164">
        <v>26.0</v>
      </c>
      <c r="B30" s="168"/>
      <c r="C30" s="152" t="s">
        <v>60</v>
      </c>
      <c r="D30" s="171"/>
      <c r="E30" s="171"/>
      <c r="F30" s="172"/>
      <c r="G30" s="168"/>
      <c r="H30" s="168"/>
      <c r="I30" s="168"/>
      <c r="J30" s="168"/>
      <c r="K30" s="169">
        <f t="shared" si="1"/>
        <v>0</v>
      </c>
    </row>
    <row r="31">
      <c r="A31" s="164">
        <v>27.0</v>
      </c>
      <c r="B31" s="168"/>
      <c r="C31" s="152" t="s">
        <v>60</v>
      </c>
      <c r="D31" s="171"/>
      <c r="E31" s="171"/>
      <c r="F31" s="172"/>
      <c r="G31" s="168"/>
      <c r="H31" s="168"/>
      <c r="I31" s="168"/>
      <c r="J31" s="168"/>
      <c r="K31" s="169">
        <f t="shared" si="1"/>
        <v>0</v>
      </c>
    </row>
    <row r="32">
      <c r="A32" s="164">
        <v>28.0</v>
      </c>
      <c r="B32" s="168"/>
      <c r="C32" s="152" t="s">
        <v>60</v>
      </c>
      <c r="D32" s="171"/>
      <c r="E32" s="171"/>
      <c r="F32" s="172"/>
      <c r="G32" s="168"/>
      <c r="H32" s="168"/>
      <c r="I32" s="168"/>
      <c r="J32" s="168"/>
      <c r="K32" s="169">
        <f t="shared" si="1"/>
        <v>0</v>
      </c>
    </row>
    <row r="33">
      <c r="A33" s="164">
        <v>29.0</v>
      </c>
      <c r="B33" s="168"/>
      <c r="C33" s="152" t="s">
        <v>60</v>
      </c>
      <c r="D33" s="171"/>
      <c r="E33" s="171"/>
      <c r="F33" s="172"/>
      <c r="G33" s="168"/>
      <c r="H33" s="168"/>
      <c r="I33" s="168"/>
      <c r="J33" s="168"/>
      <c r="K33" s="169">
        <f t="shared" si="1"/>
        <v>0</v>
      </c>
    </row>
    <row r="34">
      <c r="A34" s="164">
        <v>30.0</v>
      </c>
      <c r="B34" s="168"/>
      <c r="C34" s="152" t="s">
        <v>60</v>
      </c>
      <c r="D34" s="171"/>
      <c r="E34" s="171"/>
      <c r="F34" s="172"/>
      <c r="G34" s="168"/>
      <c r="H34" s="168"/>
      <c r="I34" s="168"/>
      <c r="J34" s="168"/>
      <c r="K34" s="169">
        <f t="shared" si="1"/>
        <v>0</v>
      </c>
    </row>
    <row r="35">
      <c r="A35" s="164">
        <v>31.0</v>
      </c>
      <c r="B35" s="168"/>
      <c r="C35" s="152" t="s">
        <v>60</v>
      </c>
      <c r="D35" s="171"/>
      <c r="E35" s="171"/>
      <c r="F35" s="172"/>
      <c r="G35" s="168"/>
      <c r="H35" s="168"/>
      <c r="I35" s="168"/>
      <c r="J35" s="168"/>
      <c r="K35" s="169">
        <f t="shared" si="1"/>
        <v>0</v>
      </c>
    </row>
    <row r="36">
      <c r="A36" s="164">
        <v>32.0</v>
      </c>
      <c r="B36" s="168"/>
      <c r="C36" s="152" t="s">
        <v>60</v>
      </c>
      <c r="D36" s="171"/>
      <c r="E36" s="171"/>
      <c r="F36" s="172"/>
      <c r="G36" s="168"/>
      <c r="H36" s="168"/>
      <c r="I36" s="168"/>
      <c r="J36" s="168"/>
      <c r="K36" s="169">
        <f t="shared" si="1"/>
        <v>0</v>
      </c>
    </row>
    <row r="37">
      <c r="A37" s="164">
        <v>33.0</v>
      </c>
      <c r="B37" s="168"/>
      <c r="C37" s="152" t="s">
        <v>60</v>
      </c>
      <c r="D37" s="171"/>
      <c r="E37" s="171"/>
      <c r="F37" s="172"/>
      <c r="G37" s="168"/>
      <c r="H37" s="168"/>
      <c r="I37" s="168"/>
      <c r="J37" s="168"/>
      <c r="K37" s="169">
        <f t="shared" si="1"/>
        <v>0</v>
      </c>
    </row>
    <row r="38">
      <c r="A38" s="164">
        <v>34.0</v>
      </c>
      <c r="B38" s="168"/>
      <c r="C38" s="152" t="s">
        <v>60</v>
      </c>
      <c r="D38" s="171"/>
      <c r="E38" s="171"/>
      <c r="F38" s="172"/>
      <c r="G38" s="168"/>
      <c r="H38" s="168"/>
      <c r="I38" s="168"/>
      <c r="J38" s="168"/>
      <c r="K38" s="169">
        <f t="shared" si="1"/>
        <v>0</v>
      </c>
    </row>
    <row r="39">
      <c r="A39" s="164">
        <v>35.0</v>
      </c>
      <c r="B39" s="168"/>
      <c r="C39" s="152" t="s">
        <v>60</v>
      </c>
      <c r="D39" s="171"/>
      <c r="E39" s="171"/>
      <c r="F39" s="172"/>
      <c r="G39" s="168"/>
      <c r="H39" s="168"/>
      <c r="I39" s="168"/>
      <c r="J39" s="168"/>
      <c r="K39" s="169">
        <f t="shared" si="1"/>
        <v>0</v>
      </c>
    </row>
    <row r="40">
      <c r="A40" s="164">
        <v>36.0</v>
      </c>
      <c r="B40" s="168"/>
      <c r="C40" s="152" t="s">
        <v>60</v>
      </c>
      <c r="D40" s="171"/>
      <c r="E40" s="171"/>
      <c r="F40" s="172"/>
      <c r="G40" s="168"/>
      <c r="H40" s="168"/>
      <c r="I40" s="168"/>
      <c r="J40" s="168"/>
      <c r="K40" s="169">
        <f t="shared" si="1"/>
        <v>0</v>
      </c>
    </row>
    <row r="41">
      <c r="A41" s="164">
        <v>37.0</v>
      </c>
      <c r="B41" s="168"/>
      <c r="C41" s="152" t="s">
        <v>60</v>
      </c>
      <c r="D41" s="171"/>
      <c r="E41" s="171"/>
      <c r="F41" s="172"/>
      <c r="G41" s="168"/>
      <c r="H41" s="168"/>
      <c r="I41" s="168"/>
      <c r="J41" s="168"/>
      <c r="K41" s="169">
        <f t="shared" si="1"/>
        <v>0</v>
      </c>
    </row>
    <row r="42">
      <c r="A42" s="164">
        <v>38.0</v>
      </c>
      <c r="B42" s="168"/>
      <c r="C42" s="152" t="s">
        <v>60</v>
      </c>
      <c r="D42" s="171"/>
      <c r="E42" s="171"/>
      <c r="F42" s="172"/>
      <c r="G42" s="168"/>
      <c r="H42" s="168"/>
      <c r="I42" s="168"/>
      <c r="J42" s="168"/>
      <c r="K42" s="169">
        <f t="shared" si="1"/>
        <v>0</v>
      </c>
    </row>
    <row r="43">
      <c r="A43" s="164">
        <v>39.0</v>
      </c>
      <c r="B43" s="168"/>
      <c r="C43" s="152" t="s">
        <v>60</v>
      </c>
      <c r="D43" s="171"/>
      <c r="E43" s="171"/>
      <c r="F43" s="172"/>
      <c r="G43" s="168"/>
      <c r="H43" s="168"/>
      <c r="I43" s="168"/>
      <c r="J43" s="168"/>
      <c r="K43" s="169">
        <f t="shared" si="1"/>
        <v>0</v>
      </c>
    </row>
    <row r="44">
      <c r="A44" s="164">
        <v>40.0</v>
      </c>
      <c r="B44" s="168"/>
      <c r="C44" s="152" t="s">
        <v>60</v>
      </c>
      <c r="D44" s="171"/>
      <c r="E44" s="171"/>
      <c r="F44" s="172"/>
      <c r="G44" s="168"/>
      <c r="H44" s="168"/>
      <c r="I44" s="168"/>
      <c r="J44" s="168"/>
      <c r="K44" s="169">
        <f t="shared" si="1"/>
        <v>0</v>
      </c>
    </row>
    <row r="45">
      <c r="A45" s="164">
        <v>41.0</v>
      </c>
      <c r="B45" s="168"/>
      <c r="C45" s="152" t="s">
        <v>60</v>
      </c>
      <c r="D45" s="171"/>
      <c r="E45" s="171"/>
      <c r="F45" s="172"/>
      <c r="G45" s="168"/>
      <c r="H45" s="168"/>
      <c r="I45" s="168"/>
      <c r="J45" s="168"/>
      <c r="K45" s="169">
        <f t="shared" si="1"/>
        <v>0</v>
      </c>
    </row>
    <row r="46">
      <c r="A46" s="164">
        <v>42.0</v>
      </c>
      <c r="B46" s="168"/>
      <c r="C46" s="152" t="s">
        <v>60</v>
      </c>
      <c r="D46" s="171"/>
      <c r="E46" s="171"/>
      <c r="F46" s="172"/>
      <c r="G46" s="168"/>
      <c r="H46" s="168"/>
      <c r="I46" s="168"/>
      <c r="J46" s="168"/>
      <c r="K46" s="169">
        <f t="shared" si="1"/>
        <v>0</v>
      </c>
    </row>
    <row r="47">
      <c r="A47" s="164">
        <v>43.0</v>
      </c>
      <c r="B47" s="168"/>
      <c r="C47" s="152" t="s">
        <v>60</v>
      </c>
      <c r="D47" s="171"/>
      <c r="E47" s="171"/>
      <c r="F47" s="172"/>
      <c r="G47" s="168"/>
      <c r="H47" s="168"/>
      <c r="I47" s="168"/>
      <c r="J47" s="168"/>
      <c r="K47" s="169">
        <f t="shared" si="1"/>
        <v>0</v>
      </c>
    </row>
    <row r="48">
      <c r="A48" s="164">
        <v>44.0</v>
      </c>
      <c r="B48" s="168"/>
      <c r="C48" s="152" t="s">
        <v>60</v>
      </c>
      <c r="D48" s="171"/>
      <c r="E48" s="171"/>
      <c r="F48" s="172"/>
      <c r="G48" s="168"/>
      <c r="H48" s="168"/>
      <c r="I48" s="168"/>
      <c r="J48" s="168"/>
      <c r="K48" s="169">
        <f t="shared" si="1"/>
        <v>0</v>
      </c>
    </row>
    <row r="49">
      <c r="A49" s="164">
        <v>45.0</v>
      </c>
      <c r="B49" s="168"/>
      <c r="C49" s="152" t="s">
        <v>60</v>
      </c>
      <c r="D49" s="171"/>
      <c r="E49" s="171"/>
      <c r="F49" s="172"/>
      <c r="G49" s="168"/>
      <c r="H49" s="168"/>
      <c r="I49" s="168"/>
      <c r="J49" s="168"/>
      <c r="K49" s="169">
        <f t="shared" si="1"/>
        <v>0</v>
      </c>
    </row>
    <row r="50">
      <c r="A50" s="164">
        <v>46.0</v>
      </c>
      <c r="B50" s="168"/>
      <c r="C50" s="152" t="s">
        <v>60</v>
      </c>
      <c r="D50" s="171"/>
      <c r="E50" s="171"/>
      <c r="F50" s="172"/>
      <c r="G50" s="168"/>
      <c r="H50" s="168"/>
      <c r="I50" s="168"/>
      <c r="J50" s="168"/>
      <c r="K50" s="169">
        <f t="shared" si="1"/>
        <v>0</v>
      </c>
    </row>
    <row r="51">
      <c r="A51" s="164">
        <v>47.0</v>
      </c>
      <c r="B51" s="168"/>
      <c r="C51" s="152" t="s">
        <v>60</v>
      </c>
      <c r="D51" s="171"/>
      <c r="E51" s="171"/>
      <c r="F51" s="172"/>
      <c r="G51" s="168"/>
      <c r="H51" s="168"/>
      <c r="I51" s="168"/>
      <c r="J51" s="168"/>
      <c r="K51" s="169">
        <f t="shared" si="1"/>
        <v>0</v>
      </c>
    </row>
    <row r="52">
      <c r="A52" s="164">
        <v>48.0</v>
      </c>
      <c r="B52" s="168"/>
      <c r="C52" s="152" t="s">
        <v>60</v>
      </c>
      <c r="D52" s="171"/>
      <c r="E52" s="171"/>
      <c r="F52" s="172"/>
      <c r="G52" s="168"/>
      <c r="H52" s="168"/>
      <c r="I52" s="168"/>
      <c r="J52" s="168"/>
      <c r="K52" s="169">
        <f t="shared" si="1"/>
        <v>0</v>
      </c>
    </row>
    <row r="53">
      <c r="A53" s="164">
        <v>49.0</v>
      </c>
      <c r="B53" s="168"/>
      <c r="C53" s="152" t="s">
        <v>60</v>
      </c>
      <c r="D53" s="171"/>
      <c r="E53" s="171"/>
      <c r="F53" s="172"/>
      <c r="G53" s="168"/>
      <c r="H53" s="168"/>
      <c r="I53" s="168"/>
      <c r="J53" s="168"/>
      <c r="K53" s="169">
        <f t="shared" si="1"/>
        <v>0</v>
      </c>
      <c r="M53" s="212"/>
    </row>
    <row r="54">
      <c r="A54" s="173">
        <v>50.0</v>
      </c>
      <c r="B54" s="168"/>
      <c r="C54" s="152" t="s">
        <v>60</v>
      </c>
      <c r="D54" s="171"/>
      <c r="E54" s="171"/>
      <c r="F54" s="168"/>
      <c r="G54" s="168"/>
      <c r="H54" s="168"/>
      <c r="I54" s="168"/>
      <c r="J54" s="168"/>
      <c r="K54" s="169">
        <f t="shared" si="1"/>
        <v>0</v>
      </c>
    </row>
    <row r="55">
      <c r="A55" s="173">
        <v>51.0</v>
      </c>
      <c r="B55" s="168"/>
      <c r="C55" s="152" t="s">
        <v>60</v>
      </c>
      <c r="D55" s="171"/>
      <c r="E55" s="171"/>
      <c r="F55" s="168"/>
      <c r="G55" s="168"/>
      <c r="H55" s="168"/>
      <c r="I55" s="168"/>
      <c r="J55" s="168"/>
      <c r="K55" s="169">
        <f t="shared" si="1"/>
        <v>0</v>
      </c>
    </row>
    <row r="56">
      <c r="A56" s="173">
        <v>52.0</v>
      </c>
      <c r="B56" s="168"/>
      <c r="C56" s="152" t="s">
        <v>60</v>
      </c>
      <c r="D56" s="171"/>
      <c r="E56" s="171"/>
      <c r="F56" s="168"/>
      <c r="G56" s="168"/>
      <c r="H56" s="168"/>
      <c r="I56" s="168"/>
      <c r="J56" s="168"/>
      <c r="K56" s="169">
        <f t="shared" si="1"/>
        <v>0</v>
      </c>
    </row>
    <row r="57">
      <c r="A57" s="173">
        <v>53.0</v>
      </c>
      <c r="B57" s="168"/>
      <c r="C57" s="152" t="s">
        <v>60</v>
      </c>
      <c r="D57" s="171"/>
      <c r="E57" s="171"/>
      <c r="F57" s="168"/>
      <c r="G57" s="168"/>
      <c r="H57" s="168"/>
      <c r="I57" s="168"/>
      <c r="J57" s="168"/>
      <c r="K57" s="169">
        <f t="shared" si="1"/>
        <v>0</v>
      </c>
    </row>
    <row r="58">
      <c r="A58" s="173">
        <v>54.0</v>
      </c>
      <c r="B58" s="168"/>
      <c r="C58" s="152" t="s">
        <v>60</v>
      </c>
      <c r="D58" s="171"/>
      <c r="E58" s="171"/>
      <c r="F58" s="168"/>
      <c r="G58" s="168"/>
      <c r="H58" s="168"/>
      <c r="I58" s="168"/>
      <c r="J58" s="168"/>
      <c r="K58" s="169">
        <f t="shared" si="1"/>
        <v>0</v>
      </c>
    </row>
    <row r="59">
      <c r="A59" s="173">
        <v>55.0</v>
      </c>
      <c r="B59" s="168"/>
      <c r="C59" s="152" t="s">
        <v>60</v>
      </c>
      <c r="D59" s="171"/>
      <c r="E59" s="171"/>
      <c r="F59" s="168"/>
      <c r="G59" s="168"/>
      <c r="H59" s="168"/>
      <c r="I59" s="168"/>
      <c r="J59" s="168"/>
      <c r="K59" s="169">
        <f t="shared" si="1"/>
        <v>0</v>
      </c>
    </row>
    <row r="60">
      <c r="A60" s="173">
        <v>56.0</v>
      </c>
      <c r="B60" s="168"/>
      <c r="C60" s="152" t="s">
        <v>60</v>
      </c>
      <c r="D60" s="171"/>
      <c r="E60" s="171"/>
      <c r="F60" s="168"/>
      <c r="G60" s="168"/>
      <c r="H60" s="168"/>
      <c r="I60" s="168"/>
      <c r="J60" s="168"/>
      <c r="K60" s="169">
        <f t="shared" si="1"/>
        <v>0</v>
      </c>
    </row>
    <row r="61">
      <c r="A61" s="173">
        <v>57.0</v>
      </c>
      <c r="B61" s="168"/>
      <c r="C61" s="152" t="s">
        <v>60</v>
      </c>
      <c r="D61" s="171"/>
      <c r="E61" s="171"/>
      <c r="F61" s="168"/>
      <c r="G61" s="168"/>
      <c r="H61" s="168"/>
      <c r="I61" s="168"/>
      <c r="J61" s="168"/>
      <c r="K61" s="169">
        <f t="shared" si="1"/>
        <v>0</v>
      </c>
    </row>
    <row r="62">
      <c r="A62" s="173">
        <v>58.0</v>
      </c>
      <c r="B62" s="168"/>
      <c r="C62" s="152" t="s">
        <v>60</v>
      </c>
      <c r="D62" s="171"/>
      <c r="E62" s="171"/>
      <c r="F62" s="168"/>
      <c r="G62" s="168"/>
      <c r="H62" s="168"/>
      <c r="I62" s="168"/>
      <c r="J62" s="168"/>
      <c r="K62" s="169">
        <f t="shared" si="1"/>
        <v>0</v>
      </c>
    </row>
    <row r="63">
      <c r="A63" s="173">
        <v>59.0</v>
      </c>
      <c r="B63" s="168"/>
      <c r="C63" s="152" t="s">
        <v>60</v>
      </c>
      <c r="D63" s="171"/>
      <c r="E63" s="171"/>
      <c r="F63" s="168"/>
      <c r="G63" s="168"/>
      <c r="H63" s="168"/>
      <c r="I63" s="168"/>
      <c r="J63" s="168"/>
      <c r="K63" s="169">
        <f t="shared" si="1"/>
        <v>0</v>
      </c>
    </row>
    <row r="64">
      <c r="A64" s="173">
        <v>60.0</v>
      </c>
      <c r="B64" s="168"/>
      <c r="C64" s="152" t="s">
        <v>60</v>
      </c>
      <c r="D64" s="171"/>
      <c r="E64" s="171"/>
      <c r="F64" s="168"/>
      <c r="G64" s="168"/>
      <c r="H64" s="168"/>
      <c r="I64" s="168"/>
      <c r="J64" s="168"/>
      <c r="K64" s="169">
        <f t="shared" si="1"/>
        <v>0</v>
      </c>
    </row>
    <row r="65">
      <c r="A65" s="173">
        <v>61.0</v>
      </c>
      <c r="B65" s="168"/>
      <c r="C65" s="152" t="s">
        <v>60</v>
      </c>
      <c r="D65" s="171"/>
      <c r="E65" s="171"/>
      <c r="F65" s="168"/>
      <c r="G65" s="168"/>
      <c r="H65" s="168"/>
      <c r="I65" s="168"/>
      <c r="J65" s="168"/>
      <c r="K65" s="169">
        <f t="shared" si="1"/>
        <v>0</v>
      </c>
    </row>
    <row r="66">
      <c r="A66" s="173">
        <v>62.0</v>
      </c>
      <c r="B66" s="168"/>
      <c r="C66" s="152" t="s">
        <v>60</v>
      </c>
      <c r="D66" s="171"/>
      <c r="E66" s="171"/>
      <c r="F66" s="168"/>
      <c r="G66" s="168"/>
      <c r="H66" s="168"/>
      <c r="I66" s="168"/>
      <c r="J66" s="168"/>
      <c r="K66" s="169">
        <f t="shared" si="1"/>
        <v>0</v>
      </c>
    </row>
    <row r="67">
      <c r="A67" s="173">
        <v>63.0</v>
      </c>
      <c r="B67" s="168"/>
      <c r="C67" s="152" t="s">
        <v>60</v>
      </c>
      <c r="D67" s="171"/>
      <c r="E67" s="171"/>
      <c r="F67" s="168"/>
      <c r="G67" s="168"/>
      <c r="H67" s="168"/>
      <c r="I67" s="168"/>
      <c r="J67" s="168"/>
      <c r="K67" s="169">
        <f t="shared" si="1"/>
        <v>0</v>
      </c>
    </row>
    <row r="68">
      <c r="A68" s="173">
        <v>64.0</v>
      </c>
      <c r="B68" s="168"/>
      <c r="C68" s="152" t="s">
        <v>60</v>
      </c>
      <c r="D68" s="171"/>
      <c r="E68" s="171"/>
      <c r="F68" s="168"/>
      <c r="G68" s="168"/>
      <c r="H68" s="168"/>
      <c r="I68" s="168"/>
      <c r="J68" s="168"/>
      <c r="K68" s="169">
        <f t="shared" si="1"/>
        <v>0</v>
      </c>
    </row>
    <row r="69">
      <c r="A69" s="173">
        <v>65.0</v>
      </c>
      <c r="B69" s="168"/>
      <c r="C69" s="152" t="s">
        <v>60</v>
      </c>
      <c r="D69" s="171"/>
      <c r="E69" s="171"/>
      <c r="F69" s="168"/>
      <c r="G69" s="168"/>
      <c r="H69" s="168"/>
      <c r="I69" s="168"/>
      <c r="J69" s="168"/>
      <c r="K69" s="169">
        <f t="shared" si="1"/>
        <v>0</v>
      </c>
    </row>
    <row r="70">
      <c r="A70" s="173">
        <v>66.0</v>
      </c>
      <c r="B70" s="168"/>
      <c r="C70" s="152" t="s">
        <v>60</v>
      </c>
      <c r="D70" s="171"/>
      <c r="E70" s="171"/>
      <c r="F70" s="168"/>
      <c r="G70" s="168"/>
      <c r="H70" s="168"/>
      <c r="I70" s="168"/>
      <c r="J70" s="168"/>
      <c r="K70" s="169">
        <f t="shared" si="1"/>
        <v>0</v>
      </c>
    </row>
    <row r="71">
      <c r="A71" s="173">
        <v>67.0</v>
      </c>
      <c r="B71" s="168"/>
      <c r="C71" s="152" t="s">
        <v>60</v>
      </c>
      <c r="D71" s="171"/>
      <c r="E71" s="171"/>
      <c r="F71" s="168"/>
      <c r="G71" s="168"/>
      <c r="H71" s="168"/>
      <c r="I71" s="168"/>
      <c r="J71" s="168"/>
      <c r="K71" s="169">
        <f t="shared" si="1"/>
        <v>0</v>
      </c>
    </row>
    <row r="72">
      <c r="A72" s="173">
        <v>68.0</v>
      </c>
      <c r="B72" s="168"/>
      <c r="C72" s="152" t="s">
        <v>60</v>
      </c>
      <c r="D72" s="171"/>
      <c r="E72" s="171"/>
      <c r="F72" s="168"/>
      <c r="G72" s="168"/>
      <c r="H72" s="168"/>
      <c r="I72" s="168"/>
      <c r="J72" s="168"/>
      <c r="K72" s="169">
        <f t="shared" si="1"/>
        <v>0</v>
      </c>
    </row>
    <row r="73">
      <c r="A73" s="173">
        <v>69.0</v>
      </c>
      <c r="B73" s="168"/>
      <c r="C73" s="152" t="s">
        <v>60</v>
      </c>
      <c r="D73" s="171"/>
      <c r="E73" s="171"/>
      <c r="F73" s="168"/>
      <c r="G73" s="168"/>
      <c r="H73" s="168"/>
      <c r="I73" s="168"/>
      <c r="J73" s="168"/>
      <c r="K73" s="169">
        <f t="shared" si="1"/>
        <v>0</v>
      </c>
    </row>
    <row r="74">
      <c r="A74" s="173">
        <v>70.0</v>
      </c>
      <c r="B74" s="168"/>
      <c r="C74" s="152" t="s">
        <v>60</v>
      </c>
      <c r="D74" s="171"/>
      <c r="E74" s="171"/>
      <c r="F74" s="168"/>
      <c r="G74" s="168"/>
      <c r="H74" s="168"/>
      <c r="I74" s="168"/>
      <c r="J74" s="168"/>
      <c r="K74" s="169">
        <f t="shared" si="1"/>
        <v>0</v>
      </c>
    </row>
    <row r="75">
      <c r="A75" s="173">
        <v>71.0</v>
      </c>
      <c r="B75" s="168"/>
      <c r="C75" s="152" t="s">
        <v>60</v>
      </c>
      <c r="D75" s="171"/>
      <c r="E75" s="171"/>
      <c r="F75" s="168"/>
      <c r="G75" s="168"/>
      <c r="H75" s="168"/>
      <c r="I75" s="168"/>
      <c r="J75" s="168"/>
      <c r="K75" s="169">
        <f t="shared" si="1"/>
        <v>0</v>
      </c>
    </row>
    <row r="76">
      <c r="A76" s="173">
        <v>72.0</v>
      </c>
      <c r="B76" s="168"/>
      <c r="C76" s="152" t="s">
        <v>60</v>
      </c>
      <c r="D76" s="171"/>
      <c r="E76" s="171"/>
      <c r="F76" s="168"/>
      <c r="G76" s="168"/>
      <c r="H76" s="168"/>
      <c r="I76" s="168"/>
      <c r="J76" s="168"/>
      <c r="K76" s="169">
        <f t="shared" si="1"/>
        <v>0</v>
      </c>
    </row>
    <row r="77">
      <c r="A77" s="173">
        <v>73.0</v>
      </c>
      <c r="B77" s="168"/>
      <c r="C77" s="152" t="s">
        <v>60</v>
      </c>
      <c r="D77" s="171"/>
      <c r="E77" s="171"/>
      <c r="F77" s="168"/>
      <c r="G77" s="168"/>
      <c r="H77" s="168"/>
      <c r="I77" s="168"/>
      <c r="J77" s="168"/>
      <c r="K77" s="169">
        <f t="shared" si="1"/>
        <v>0</v>
      </c>
    </row>
    <row r="78">
      <c r="A78" s="173">
        <v>74.0</v>
      </c>
      <c r="B78" s="168"/>
      <c r="C78" s="152" t="s">
        <v>60</v>
      </c>
      <c r="D78" s="171"/>
      <c r="E78" s="171"/>
      <c r="F78" s="168"/>
      <c r="G78" s="168"/>
      <c r="H78" s="168"/>
      <c r="I78" s="168"/>
      <c r="J78" s="168"/>
      <c r="K78" s="169">
        <f t="shared" si="1"/>
        <v>0</v>
      </c>
    </row>
    <row r="79">
      <c r="A79" s="173">
        <v>75.0</v>
      </c>
      <c r="B79" s="168"/>
      <c r="C79" s="152" t="s">
        <v>60</v>
      </c>
      <c r="D79" s="171"/>
      <c r="E79" s="171"/>
      <c r="F79" s="168"/>
      <c r="G79" s="168"/>
      <c r="H79" s="168"/>
      <c r="I79" s="168"/>
      <c r="J79" s="168"/>
      <c r="K79" s="169">
        <f t="shared" si="1"/>
        <v>0</v>
      </c>
    </row>
    <row r="80">
      <c r="A80" s="173">
        <v>76.0</v>
      </c>
      <c r="B80" s="168"/>
      <c r="C80" s="152" t="s">
        <v>60</v>
      </c>
      <c r="D80" s="171"/>
      <c r="E80" s="171"/>
      <c r="F80" s="168"/>
      <c r="G80" s="168"/>
      <c r="H80" s="168"/>
      <c r="I80" s="168"/>
      <c r="J80" s="168"/>
      <c r="K80" s="169">
        <f t="shared" si="1"/>
        <v>0</v>
      </c>
    </row>
    <row r="81">
      <c r="A81" s="173">
        <v>77.0</v>
      </c>
      <c r="B81" s="168"/>
      <c r="C81" s="152" t="s">
        <v>60</v>
      </c>
      <c r="D81" s="171"/>
      <c r="E81" s="171"/>
      <c r="F81" s="168"/>
      <c r="G81" s="168"/>
      <c r="H81" s="168"/>
      <c r="I81" s="168"/>
      <c r="J81" s="168"/>
      <c r="K81" s="169">
        <f t="shared" si="1"/>
        <v>0</v>
      </c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</sheetData>
  <mergeCells count="12">
    <mergeCell ref="G3:G4"/>
    <mergeCell ref="H3:H4"/>
    <mergeCell ref="I3:I4"/>
    <mergeCell ref="J3:J4"/>
    <mergeCell ref="A1:K2"/>
    <mergeCell ref="A3:A4"/>
    <mergeCell ref="B3:B4"/>
    <mergeCell ref="C3:C4"/>
    <mergeCell ref="D3:D4"/>
    <mergeCell ref="E3:E4"/>
    <mergeCell ref="F3:F4"/>
    <mergeCell ref="K3:K4"/>
  </mergeCells>
  <conditionalFormatting sqref="F5:F53 F86:F500">
    <cfRule type="containsText" dxfId="7" priority="1" operator="containsText" text="oui">
      <formula>NOT(ISERROR(SEARCH(("oui"),(F5))))</formula>
    </cfRule>
  </conditionalFormatting>
  <conditionalFormatting sqref="F5:F53 F86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28.5"/>
    <col customWidth="1" min="5" max="5" width="27.38"/>
    <col customWidth="1" min="10" max="10" width="13.25"/>
    <col customWidth="1" min="11" max="11" width="24.38"/>
    <col customWidth="1" min="12" max="12" width="21.38"/>
    <col customWidth="1" min="13" max="13" width="17.88"/>
    <col customWidth="1" min="14" max="14" width="18.25"/>
  </cols>
  <sheetData>
    <row r="1">
      <c r="A1" s="158" t="s">
        <v>180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/>
      <c r="H3" s="174"/>
      <c r="I3" s="213"/>
      <c r="J3" s="163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5">
        <v>46119.0</v>
      </c>
      <c r="C5" s="166" t="s">
        <v>64</v>
      </c>
      <c r="D5" s="171">
        <v>0.0</v>
      </c>
      <c r="E5" s="171">
        <v>0.0</v>
      </c>
      <c r="F5" s="172"/>
      <c r="G5" s="172"/>
      <c r="H5" s="168"/>
      <c r="I5" s="168"/>
      <c r="J5" s="169">
        <f t="shared" ref="J5:J81" si="1">E5-D5</f>
        <v>0</v>
      </c>
    </row>
    <row r="6">
      <c r="A6" s="164">
        <v>2.0</v>
      </c>
      <c r="B6" s="170"/>
      <c r="C6" s="166" t="s">
        <v>64</v>
      </c>
      <c r="D6" s="171">
        <v>0.0</v>
      </c>
      <c r="E6" s="171">
        <v>0.0</v>
      </c>
      <c r="F6" s="172"/>
      <c r="G6" s="172"/>
      <c r="H6" s="168"/>
      <c r="I6" s="168"/>
      <c r="J6" s="169">
        <f t="shared" si="1"/>
        <v>0</v>
      </c>
    </row>
    <row r="7">
      <c r="A7" s="164">
        <v>3.0</v>
      </c>
      <c r="B7" s="170"/>
      <c r="C7" s="166" t="s">
        <v>64</v>
      </c>
      <c r="D7" s="171">
        <v>0.0</v>
      </c>
      <c r="E7" s="171">
        <v>0.0</v>
      </c>
      <c r="F7" s="172"/>
      <c r="G7" s="172"/>
      <c r="H7" s="168"/>
      <c r="I7" s="168"/>
      <c r="J7" s="169">
        <f t="shared" si="1"/>
        <v>0</v>
      </c>
    </row>
    <row r="8">
      <c r="A8" s="164">
        <v>4.0</v>
      </c>
      <c r="B8" s="170"/>
      <c r="C8" s="166" t="s">
        <v>64</v>
      </c>
      <c r="D8" s="171">
        <v>0.0</v>
      </c>
      <c r="E8" s="171">
        <v>0.0</v>
      </c>
      <c r="F8" s="172"/>
      <c r="G8" s="172"/>
      <c r="H8" s="168"/>
      <c r="I8" s="168"/>
      <c r="J8" s="169">
        <f t="shared" si="1"/>
        <v>0</v>
      </c>
    </row>
    <row r="9">
      <c r="A9" s="164">
        <v>5.0</v>
      </c>
      <c r="B9" s="170"/>
      <c r="C9" s="166" t="s">
        <v>64</v>
      </c>
      <c r="D9" s="171">
        <v>0.0</v>
      </c>
      <c r="E9" s="171">
        <v>0.0</v>
      </c>
      <c r="F9" s="172"/>
      <c r="G9" s="172"/>
      <c r="H9" s="168"/>
      <c r="I9" s="168"/>
      <c r="J9" s="169">
        <f t="shared" si="1"/>
        <v>0</v>
      </c>
    </row>
    <row r="10">
      <c r="A10" s="164">
        <v>6.0</v>
      </c>
      <c r="B10" s="170"/>
      <c r="C10" s="166" t="s">
        <v>64</v>
      </c>
      <c r="D10" s="171">
        <v>0.0</v>
      </c>
      <c r="E10" s="171">
        <v>0.0</v>
      </c>
      <c r="F10" s="172"/>
      <c r="G10" s="172"/>
      <c r="H10" s="168"/>
      <c r="I10" s="168"/>
      <c r="J10" s="169">
        <f t="shared" si="1"/>
        <v>0</v>
      </c>
    </row>
    <row r="11">
      <c r="A11" s="164">
        <v>7.0</v>
      </c>
      <c r="B11" s="170"/>
      <c r="C11" s="166" t="s">
        <v>64</v>
      </c>
      <c r="D11" s="171">
        <v>0.0</v>
      </c>
      <c r="E11" s="171">
        <v>0.0</v>
      </c>
      <c r="F11" s="172"/>
      <c r="G11" s="172"/>
      <c r="H11" s="168"/>
      <c r="I11" s="168"/>
      <c r="J11" s="169">
        <f t="shared" si="1"/>
        <v>0</v>
      </c>
    </row>
    <row r="12">
      <c r="A12" s="164">
        <v>8.0</v>
      </c>
      <c r="B12" s="170"/>
      <c r="C12" s="166" t="s">
        <v>64</v>
      </c>
      <c r="D12" s="171">
        <v>0.0</v>
      </c>
      <c r="E12" s="171">
        <v>0.0</v>
      </c>
      <c r="F12" s="172"/>
      <c r="G12" s="172"/>
      <c r="H12" s="168"/>
      <c r="I12" s="168"/>
      <c r="J12" s="169">
        <f t="shared" si="1"/>
        <v>0</v>
      </c>
    </row>
    <row r="13">
      <c r="A13" s="164">
        <v>9.0</v>
      </c>
      <c r="B13" s="170"/>
      <c r="C13" s="166" t="s">
        <v>64</v>
      </c>
      <c r="D13" s="171">
        <v>0.0</v>
      </c>
      <c r="E13" s="171">
        <v>0.0</v>
      </c>
      <c r="F13" s="172"/>
      <c r="G13" s="172"/>
      <c r="H13" s="168"/>
      <c r="I13" s="168"/>
      <c r="J13" s="169">
        <f t="shared" si="1"/>
        <v>0</v>
      </c>
    </row>
    <row r="14">
      <c r="A14" s="164">
        <v>10.0</v>
      </c>
      <c r="B14" s="170"/>
      <c r="C14" s="166" t="s">
        <v>64</v>
      </c>
      <c r="D14" s="171">
        <v>0.0</v>
      </c>
      <c r="E14" s="171">
        <v>0.0</v>
      </c>
      <c r="F14" s="172"/>
      <c r="G14" s="172"/>
      <c r="H14" s="168"/>
      <c r="I14" s="168"/>
      <c r="J14" s="169">
        <f t="shared" si="1"/>
        <v>0</v>
      </c>
      <c r="K14" s="176"/>
      <c r="L14" s="176"/>
      <c r="M14" s="176"/>
    </row>
    <row r="15">
      <c r="A15" s="164">
        <v>11.0</v>
      </c>
      <c r="B15" s="170"/>
      <c r="C15" s="166" t="s">
        <v>64</v>
      </c>
      <c r="D15" s="171">
        <v>0.0</v>
      </c>
      <c r="E15" s="171">
        <v>0.0</v>
      </c>
      <c r="F15" s="172"/>
      <c r="G15" s="172"/>
      <c r="H15" s="168"/>
      <c r="I15" s="168"/>
      <c r="J15" s="169">
        <f t="shared" si="1"/>
        <v>0</v>
      </c>
      <c r="K15" s="176"/>
      <c r="L15" s="176"/>
      <c r="M15" s="176"/>
    </row>
    <row r="16">
      <c r="A16" s="164">
        <v>12.0</v>
      </c>
      <c r="B16" s="170"/>
      <c r="C16" s="166" t="s">
        <v>64</v>
      </c>
      <c r="D16" s="171">
        <v>0.0</v>
      </c>
      <c r="E16" s="171">
        <v>0.0</v>
      </c>
      <c r="F16" s="172"/>
      <c r="G16" s="172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70"/>
      <c r="C17" s="166" t="s">
        <v>64</v>
      </c>
      <c r="D17" s="171">
        <v>0.0</v>
      </c>
      <c r="E17" s="171">
        <v>0.0</v>
      </c>
      <c r="F17" s="172"/>
      <c r="G17" s="172"/>
      <c r="H17" s="168"/>
      <c r="I17" s="168"/>
      <c r="J17" s="169">
        <f t="shared" si="1"/>
        <v>0</v>
      </c>
      <c r="L17" s="214">
        <f>COUNTA(G5:G92)</f>
        <v>0</v>
      </c>
      <c r="M17" s="214">
        <f>COUNTIF(G5:G500,"non")</f>
        <v>0</v>
      </c>
      <c r="N17" s="214">
        <f>COUNTIF(F5:F92,"oui")</f>
        <v>0</v>
      </c>
      <c r="O17" s="214" t="str">
        <f>(L17-M17)/L17</f>
        <v>#DIV/0!</v>
      </c>
      <c r="P17" s="215" t="str">
        <f>AVERAGEIF(J$5:J$200,"&lt;&gt;0")</f>
        <v>#DIV/0!</v>
      </c>
    </row>
    <row r="18">
      <c r="A18" s="164">
        <v>14.0</v>
      </c>
      <c r="B18" s="170"/>
      <c r="C18" s="166" t="s">
        <v>64</v>
      </c>
      <c r="D18" s="171">
        <v>0.0</v>
      </c>
      <c r="E18" s="171">
        <v>0.0</v>
      </c>
      <c r="F18" s="172"/>
      <c r="G18" s="172"/>
      <c r="H18" s="168"/>
      <c r="I18" s="168"/>
      <c r="J18" s="169">
        <f t="shared" si="1"/>
        <v>0</v>
      </c>
    </row>
    <row r="19">
      <c r="A19" s="164">
        <v>15.0</v>
      </c>
      <c r="B19" s="170"/>
      <c r="C19" s="166" t="s">
        <v>64</v>
      </c>
      <c r="D19" s="171">
        <v>0.0</v>
      </c>
      <c r="E19" s="171">
        <v>0.0</v>
      </c>
      <c r="F19" s="172"/>
      <c r="G19" s="172"/>
      <c r="H19" s="168"/>
      <c r="I19" s="168"/>
      <c r="J19" s="169">
        <f t="shared" si="1"/>
        <v>0</v>
      </c>
      <c r="L19" s="101" t="s">
        <v>181</v>
      </c>
      <c r="M19" s="101" t="s">
        <v>182</v>
      </c>
    </row>
    <row r="20">
      <c r="A20" s="164">
        <v>16.0</v>
      </c>
      <c r="B20" s="170"/>
      <c r="C20" s="166" t="s">
        <v>64</v>
      </c>
      <c r="D20" s="171">
        <v>0.0</v>
      </c>
      <c r="E20" s="171">
        <v>0.0</v>
      </c>
      <c r="F20" s="172"/>
      <c r="G20" s="172"/>
      <c r="H20" s="168"/>
      <c r="I20" s="168"/>
      <c r="J20" s="169">
        <f t="shared" si="1"/>
        <v>0</v>
      </c>
      <c r="L20" s="216"/>
      <c r="M20" s="216"/>
    </row>
    <row r="21">
      <c r="A21" s="164">
        <v>17.0</v>
      </c>
      <c r="B21" s="170"/>
      <c r="C21" s="166" t="s">
        <v>64</v>
      </c>
      <c r="D21" s="171">
        <v>0.0</v>
      </c>
      <c r="E21" s="171">
        <v>0.0</v>
      </c>
      <c r="F21" s="172"/>
      <c r="G21" s="172"/>
      <c r="H21" s="168"/>
      <c r="I21" s="168"/>
      <c r="J21" s="169">
        <f t="shared" si="1"/>
        <v>0</v>
      </c>
      <c r="L21" s="216"/>
      <c r="M21" s="216"/>
    </row>
    <row r="22">
      <c r="A22" s="164">
        <v>18.0</v>
      </c>
      <c r="B22" s="170"/>
      <c r="C22" s="166" t="s">
        <v>64</v>
      </c>
      <c r="D22" s="171">
        <v>0.0</v>
      </c>
      <c r="E22" s="171">
        <v>0.0</v>
      </c>
      <c r="F22" s="172"/>
      <c r="G22" s="172"/>
      <c r="H22" s="168"/>
      <c r="I22" s="168"/>
      <c r="J22" s="169">
        <f t="shared" si="1"/>
        <v>0</v>
      </c>
      <c r="L22" s="216"/>
      <c r="M22" s="216"/>
    </row>
    <row r="23">
      <c r="A23" s="164">
        <v>19.0</v>
      </c>
      <c r="B23" s="170"/>
      <c r="C23" s="166" t="s">
        <v>64</v>
      </c>
      <c r="D23" s="171">
        <v>0.0</v>
      </c>
      <c r="E23" s="171">
        <v>0.0</v>
      </c>
      <c r="F23" s="172"/>
      <c r="G23" s="172"/>
      <c r="H23" s="168"/>
      <c r="I23" s="168"/>
      <c r="J23" s="169">
        <f t="shared" si="1"/>
        <v>0</v>
      </c>
    </row>
    <row r="24">
      <c r="A24" s="164">
        <v>20.0</v>
      </c>
      <c r="B24" s="170"/>
      <c r="C24" s="166" t="s">
        <v>64</v>
      </c>
      <c r="D24" s="171">
        <v>0.0</v>
      </c>
      <c r="E24" s="171">
        <v>0.0</v>
      </c>
      <c r="F24" s="172"/>
      <c r="G24" s="172"/>
      <c r="H24" s="168"/>
      <c r="I24" s="168"/>
      <c r="J24" s="169">
        <f t="shared" si="1"/>
        <v>0</v>
      </c>
    </row>
    <row r="25">
      <c r="A25" s="164">
        <v>21.0</v>
      </c>
      <c r="B25" s="170"/>
      <c r="C25" s="166" t="s">
        <v>64</v>
      </c>
      <c r="D25" s="171">
        <v>0.0</v>
      </c>
      <c r="E25" s="171">
        <v>0.0</v>
      </c>
      <c r="F25" s="172"/>
      <c r="G25" s="172"/>
      <c r="H25" s="168"/>
      <c r="I25" s="168"/>
      <c r="J25" s="169">
        <f t="shared" si="1"/>
        <v>0</v>
      </c>
    </row>
    <row r="26">
      <c r="A26" s="164">
        <v>22.0</v>
      </c>
      <c r="B26" s="170"/>
      <c r="C26" s="166" t="s">
        <v>64</v>
      </c>
      <c r="D26" s="171">
        <v>0.0</v>
      </c>
      <c r="E26" s="171">
        <v>0.0</v>
      </c>
      <c r="F26" s="172"/>
      <c r="G26" s="172"/>
      <c r="H26" s="168"/>
      <c r="I26" s="168"/>
      <c r="J26" s="169">
        <f t="shared" si="1"/>
        <v>0</v>
      </c>
    </row>
    <row r="27">
      <c r="A27" s="164">
        <v>23.0</v>
      </c>
      <c r="B27" s="170"/>
      <c r="C27" s="166" t="s">
        <v>64</v>
      </c>
      <c r="D27" s="171">
        <v>0.0</v>
      </c>
      <c r="E27" s="171">
        <v>0.0</v>
      </c>
      <c r="F27" s="172"/>
      <c r="G27" s="172"/>
      <c r="H27" s="168"/>
      <c r="I27" s="168"/>
      <c r="J27" s="169">
        <f t="shared" si="1"/>
        <v>0</v>
      </c>
    </row>
    <row r="28">
      <c r="A28" s="164">
        <v>24.0</v>
      </c>
      <c r="B28" s="170"/>
      <c r="C28" s="166" t="s">
        <v>64</v>
      </c>
      <c r="D28" s="171">
        <v>0.0</v>
      </c>
      <c r="E28" s="171">
        <v>0.0</v>
      </c>
      <c r="F28" s="172"/>
      <c r="G28" s="172"/>
      <c r="H28" s="168"/>
      <c r="I28" s="168"/>
      <c r="J28" s="169">
        <f t="shared" si="1"/>
        <v>0</v>
      </c>
    </row>
    <row r="29">
      <c r="A29" s="164">
        <v>25.0</v>
      </c>
      <c r="B29" s="170"/>
      <c r="C29" s="166" t="s">
        <v>64</v>
      </c>
      <c r="D29" s="171">
        <v>0.0</v>
      </c>
      <c r="E29" s="171">
        <v>0.0</v>
      </c>
      <c r="F29" s="172"/>
      <c r="G29" s="172"/>
      <c r="H29" s="168"/>
      <c r="I29" s="168"/>
      <c r="J29" s="169">
        <f t="shared" si="1"/>
        <v>0</v>
      </c>
    </row>
    <row r="30">
      <c r="A30" s="164">
        <v>26.0</v>
      </c>
      <c r="B30" s="170"/>
      <c r="C30" s="166" t="s">
        <v>64</v>
      </c>
      <c r="D30" s="171">
        <v>0.0</v>
      </c>
      <c r="E30" s="171">
        <v>0.0</v>
      </c>
      <c r="F30" s="172"/>
      <c r="G30" s="172"/>
      <c r="H30" s="168"/>
      <c r="I30" s="168"/>
      <c r="J30" s="169">
        <f t="shared" si="1"/>
        <v>0</v>
      </c>
    </row>
    <row r="31">
      <c r="A31" s="164">
        <v>27.0</v>
      </c>
      <c r="B31" s="170"/>
      <c r="C31" s="166" t="s">
        <v>64</v>
      </c>
      <c r="D31" s="171">
        <v>0.0</v>
      </c>
      <c r="E31" s="171">
        <v>0.0</v>
      </c>
      <c r="F31" s="172"/>
      <c r="G31" s="172"/>
      <c r="H31" s="168"/>
      <c r="I31" s="168"/>
      <c r="J31" s="169">
        <f t="shared" si="1"/>
        <v>0</v>
      </c>
    </row>
    <row r="32">
      <c r="A32" s="164">
        <v>28.0</v>
      </c>
      <c r="B32" s="170"/>
      <c r="C32" s="166" t="s">
        <v>64</v>
      </c>
      <c r="D32" s="171">
        <v>0.0</v>
      </c>
      <c r="E32" s="171">
        <v>0.0</v>
      </c>
      <c r="F32" s="172"/>
      <c r="G32" s="172"/>
      <c r="H32" s="168"/>
      <c r="I32" s="168"/>
      <c r="J32" s="169">
        <f t="shared" si="1"/>
        <v>0</v>
      </c>
    </row>
    <row r="33">
      <c r="A33" s="164">
        <v>29.0</v>
      </c>
      <c r="B33" s="170"/>
      <c r="C33" s="166" t="s">
        <v>64</v>
      </c>
      <c r="D33" s="171">
        <v>0.0</v>
      </c>
      <c r="E33" s="171">
        <v>0.0</v>
      </c>
      <c r="F33" s="172"/>
      <c r="G33" s="172"/>
      <c r="H33" s="168"/>
      <c r="I33" s="168"/>
      <c r="J33" s="169">
        <f t="shared" si="1"/>
        <v>0</v>
      </c>
    </row>
    <row r="34">
      <c r="A34" s="164">
        <v>30.0</v>
      </c>
      <c r="B34" s="170"/>
      <c r="C34" s="172"/>
      <c r="D34" s="171">
        <v>0.0</v>
      </c>
      <c r="E34" s="171">
        <v>0.0</v>
      </c>
      <c r="F34" s="172"/>
      <c r="G34" s="172"/>
      <c r="H34" s="168"/>
      <c r="I34" s="168"/>
      <c r="J34" s="169">
        <f t="shared" si="1"/>
        <v>0</v>
      </c>
    </row>
    <row r="35">
      <c r="A35" s="164">
        <v>31.0</v>
      </c>
      <c r="B35" s="170"/>
      <c r="C35" s="172"/>
      <c r="D35" s="171">
        <v>0.0</v>
      </c>
      <c r="E35" s="171">
        <v>0.0</v>
      </c>
      <c r="F35" s="172"/>
      <c r="G35" s="172"/>
      <c r="H35" s="168"/>
      <c r="I35" s="168"/>
      <c r="J35" s="169">
        <f t="shared" si="1"/>
        <v>0</v>
      </c>
    </row>
    <row r="36">
      <c r="A36" s="164">
        <v>32.0</v>
      </c>
      <c r="B36" s="170"/>
      <c r="C36" s="172"/>
      <c r="D36" s="171">
        <v>0.0</v>
      </c>
      <c r="E36" s="171">
        <v>0.0</v>
      </c>
      <c r="F36" s="172"/>
      <c r="G36" s="172"/>
      <c r="H36" s="168"/>
      <c r="I36" s="168"/>
      <c r="J36" s="169">
        <f t="shared" si="1"/>
        <v>0</v>
      </c>
    </row>
    <row r="37">
      <c r="A37" s="164">
        <v>33.0</v>
      </c>
      <c r="B37" s="168"/>
      <c r="C37" s="172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72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72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72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72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72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72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72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72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72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72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72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72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72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72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72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72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72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72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72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72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72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72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72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72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72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72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72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72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72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72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72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72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72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72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72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72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72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72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72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72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72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72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72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72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G5:G500">
    <cfRule type="containsText" dxfId="7" priority="1" operator="containsText" text="oui">
      <formula>NOT(ISERROR(SEARCH(("oui"),(G5))))</formula>
    </cfRule>
  </conditionalFormatting>
  <conditionalFormatting sqref="G5:G500">
    <cfRule type="containsText" dxfId="6" priority="2" operator="containsText" text="non">
      <formula>NOT(ISERROR(SEARCH(("non"),(G5))))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38"/>
    <col customWidth="1" min="5" max="5" width="16.75"/>
    <col customWidth="1" min="7" max="7" width="13.88"/>
    <col customWidth="1" min="9" max="9" width="14.0"/>
    <col customWidth="1" min="10" max="10" width="18.75"/>
    <col customWidth="1" min="11" max="11" width="17.25"/>
  </cols>
  <sheetData>
    <row r="1">
      <c r="A1" s="158" t="s">
        <v>183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217" t="s">
        <v>124</v>
      </c>
      <c r="I3" s="213" t="s">
        <v>125</v>
      </c>
      <c r="J3" s="163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70"/>
      <c r="C5" s="172"/>
      <c r="D5" s="171">
        <v>0.0</v>
      </c>
      <c r="E5" s="171">
        <v>0.0</v>
      </c>
      <c r="F5" s="172"/>
      <c r="G5" s="168"/>
      <c r="H5" s="168"/>
      <c r="I5" s="168"/>
      <c r="J5" s="169">
        <f t="shared" ref="J5:J81" si="1">E5-D5</f>
        <v>0</v>
      </c>
    </row>
    <row r="6">
      <c r="A6" s="164">
        <v>2.0</v>
      </c>
      <c r="B6" s="170"/>
      <c r="C6" s="172"/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</row>
    <row r="7">
      <c r="A7" s="164">
        <v>3.0</v>
      </c>
      <c r="B7" s="170"/>
      <c r="C7" s="172"/>
      <c r="D7" s="171">
        <v>0.0</v>
      </c>
      <c r="E7" s="171">
        <v>0.0</v>
      </c>
      <c r="F7" s="172"/>
      <c r="G7" s="168"/>
      <c r="H7" s="168"/>
      <c r="I7" s="168"/>
      <c r="J7" s="169">
        <f t="shared" si="1"/>
        <v>0</v>
      </c>
    </row>
    <row r="8">
      <c r="A8" s="164">
        <v>4.0</v>
      </c>
      <c r="B8" s="170"/>
      <c r="C8" s="172"/>
      <c r="D8" s="171">
        <v>0.0</v>
      </c>
      <c r="E8" s="171">
        <v>0.0</v>
      </c>
      <c r="F8" s="172"/>
      <c r="G8" s="168"/>
      <c r="H8" s="168"/>
      <c r="I8" s="168"/>
      <c r="J8" s="169">
        <f t="shared" si="1"/>
        <v>0</v>
      </c>
    </row>
    <row r="9">
      <c r="A9" s="164">
        <v>5.0</v>
      </c>
      <c r="B9" s="170"/>
      <c r="C9" s="172"/>
      <c r="D9" s="171">
        <v>0.0</v>
      </c>
      <c r="E9" s="171">
        <v>0.0</v>
      </c>
      <c r="F9" s="172"/>
      <c r="G9" s="168"/>
      <c r="H9" s="168"/>
      <c r="I9" s="168"/>
      <c r="J9" s="169">
        <f t="shared" si="1"/>
        <v>0</v>
      </c>
    </row>
    <row r="10">
      <c r="A10" s="164">
        <v>6.0</v>
      </c>
      <c r="B10" s="170"/>
      <c r="C10" s="172"/>
      <c r="D10" s="171">
        <v>0.0</v>
      </c>
      <c r="E10" s="171">
        <v>0.0</v>
      </c>
      <c r="F10" s="172"/>
      <c r="G10" s="168"/>
      <c r="H10" s="168"/>
      <c r="I10" s="168"/>
      <c r="J10" s="169">
        <f t="shared" si="1"/>
        <v>0</v>
      </c>
    </row>
    <row r="11">
      <c r="A11" s="164">
        <v>7.0</v>
      </c>
      <c r="B11" s="170"/>
      <c r="C11" s="172"/>
      <c r="D11" s="171">
        <v>0.0</v>
      </c>
      <c r="E11" s="171">
        <v>0.0</v>
      </c>
      <c r="F11" s="172"/>
      <c r="G11" s="168"/>
      <c r="H11" s="168"/>
      <c r="I11" s="168"/>
      <c r="J11" s="169">
        <f t="shared" si="1"/>
        <v>0</v>
      </c>
    </row>
    <row r="12">
      <c r="A12" s="164">
        <v>8.0</v>
      </c>
      <c r="B12" s="170"/>
      <c r="C12" s="172"/>
      <c r="D12" s="171">
        <v>0.0</v>
      </c>
      <c r="E12" s="171">
        <v>0.0</v>
      </c>
      <c r="F12" s="172"/>
      <c r="G12" s="168"/>
      <c r="H12" s="168"/>
      <c r="I12" s="168"/>
      <c r="J12" s="169">
        <f t="shared" si="1"/>
        <v>0</v>
      </c>
      <c r="L12" s="176"/>
    </row>
    <row r="13">
      <c r="A13" s="164">
        <v>9.0</v>
      </c>
      <c r="B13" s="170"/>
      <c r="C13" s="172"/>
      <c r="D13" s="171">
        <v>0.0</v>
      </c>
      <c r="E13" s="171">
        <v>0.0</v>
      </c>
      <c r="F13" s="172"/>
      <c r="G13" s="168"/>
      <c r="H13" s="168"/>
      <c r="I13" s="168"/>
      <c r="J13" s="169">
        <f t="shared" si="1"/>
        <v>0</v>
      </c>
      <c r="L13" s="176"/>
    </row>
    <row r="14">
      <c r="A14" s="164">
        <v>10.0</v>
      </c>
      <c r="B14" s="170"/>
      <c r="C14" s="172"/>
      <c r="D14" s="171">
        <v>0.0</v>
      </c>
      <c r="E14" s="171">
        <v>0.0</v>
      </c>
      <c r="F14" s="172"/>
      <c r="G14" s="168"/>
      <c r="H14" s="168"/>
      <c r="I14" s="168"/>
      <c r="J14" s="169">
        <f t="shared" si="1"/>
        <v>0</v>
      </c>
      <c r="L14" s="176"/>
    </row>
    <row r="15">
      <c r="A15" s="164">
        <v>11.0</v>
      </c>
      <c r="B15" s="170"/>
      <c r="C15" s="172"/>
      <c r="D15" s="171">
        <v>0.0</v>
      </c>
      <c r="E15" s="171">
        <v>0.0</v>
      </c>
      <c r="F15" s="172"/>
      <c r="G15" s="168"/>
      <c r="H15" s="168"/>
      <c r="I15" s="168"/>
      <c r="J15" s="169">
        <f t="shared" si="1"/>
        <v>0</v>
      </c>
      <c r="K15" s="176"/>
      <c r="L15" s="176"/>
    </row>
    <row r="16">
      <c r="A16" s="164">
        <v>12.0</v>
      </c>
      <c r="B16" s="170"/>
      <c r="C16" s="172"/>
      <c r="D16" s="171">
        <v>0.0</v>
      </c>
      <c r="E16" s="171">
        <v>0.0</v>
      </c>
      <c r="F16" s="172"/>
      <c r="G16" s="168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70"/>
      <c r="C17" s="172"/>
      <c r="D17" s="171">
        <v>0.0</v>
      </c>
      <c r="E17" s="171">
        <v>0.0</v>
      </c>
      <c r="F17" s="172"/>
      <c r="G17" s="168"/>
      <c r="H17" s="168"/>
      <c r="I17" s="168"/>
      <c r="J17" s="169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70"/>
      <c r="C18" s="172"/>
      <c r="D18" s="171">
        <v>0.0</v>
      </c>
      <c r="E18" s="171">
        <v>0.0</v>
      </c>
      <c r="F18" s="172"/>
      <c r="G18" s="168"/>
      <c r="H18" s="168"/>
      <c r="I18" s="168"/>
      <c r="J18" s="169">
        <f t="shared" si="1"/>
        <v>0</v>
      </c>
    </row>
    <row r="19">
      <c r="A19" s="164">
        <v>15.0</v>
      </c>
      <c r="B19" s="170"/>
      <c r="C19" s="172"/>
      <c r="D19" s="171">
        <v>0.0</v>
      </c>
      <c r="E19" s="171">
        <v>0.0</v>
      </c>
      <c r="F19" s="172"/>
      <c r="G19" s="168"/>
      <c r="H19" s="168"/>
      <c r="I19" s="168"/>
      <c r="J19" s="169">
        <f t="shared" si="1"/>
        <v>0</v>
      </c>
    </row>
    <row r="20">
      <c r="A20" s="164">
        <v>16.0</v>
      </c>
      <c r="B20" s="170"/>
      <c r="C20" s="172"/>
      <c r="D20" s="171">
        <v>0.0</v>
      </c>
      <c r="E20" s="171">
        <v>0.0</v>
      </c>
      <c r="F20" s="172"/>
      <c r="G20" s="168"/>
      <c r="H20" s="168"/>
      <c r="I20" s="168"/>
      <c r="J20" s="169">
        <f t="shared" si="1"/>
        <v>0</v>
      </c>
    </row>
    <row r="21">
      <c r="A21" s="164">
        <v>17.0</v>
      </c>
      <c r="B21" s="170"/>
      <c r="C21" s="172"/>
      <c r="D21" s="171">
        <v>0.0</v>
      </c>
      <c r="E21" s="171">
        <v>0.0</v>
      </c>
      <c r="F21" s="172"/>
      <c r="G21" s="168"/>
      <c r="H21" s="168"/>
      <c r="I21" s="168"/>
      <c r="J21" s="169">
        <f t="shared" si="1"/>
        <v>0</v>
      </c>
    </row>
    <row r="22">
      <c r="A22" s="164">
        <v>18.0</v>
      </c>
      <c r="B22" s="170"/>
      <c r="C22" s="172"/>
      <c r="D22" s="171">
        <v>0.0</v>
      </c>
      <c r="E22" s="171">
        <v>0.0</v>
      </c>
      <c r="F22" s="172"/>
      <c r="G22" s="168"/>
      <c r="H22" s="168"/>
      <c r="I22" s="168"/>
      <c r="J22" s="169">
        <f t="shared" si="1"/>
        <v>0</v>
      </c>
    </row>
    <row r="23">
      <c r="A23" s="164">
        <v>19.0</v>
      </c>
      <c r="B23" s="170"/>
      <c r="C23" s="172"/>
      <c r="D23" s="171">
        <v>0.0</v>
      </c>
      <c r="E23" s="171">
        <v>0.0</v>
      </c>
      <c r="F23" s="172"/>
      <c r="G23" s="168"/>
      <c r="H23" s="168"/>
      <c r="I23" s="168"/>
      <c r="J23" s="169">
        <f t="shared" si="1"/>
        <v>0</v>
      </c>
    </row>
    <row r="24">
      <c r="A24" s="164">
        <v>20.0</v>
      </c>
      <c r="B24" s="170"/>
      <c r="C24" s="172"/>
      <c r="D24" s="171">
        <v>0.0</v>
      </c>
      <c r="E24" s="171">
        <v>0.0</v>
      </c>
      <c r="F24" s="172"/>
      <c r="G24" s="168"/>
      <c r="H24" s="168"/>
      <c r="I24" s="168"/>
      <c r="J24" s="169">
        <f t="shared" si="1"/>
        <v>0</v>
      </c>
    </row>
    <row r="25">
      <c r="A25" s="164">
        <v>21.0</v>
      </c>
      <c r="B25" s="170"/>
      <c r="C25" s="172"/>
      <c r="D25" s="171">
        <v>0.0</v>
      </c>
      <c r="E25" s="171">
        <v>0.0</v>
      </c>
      <c r="F25" s="172"/>
      <c r="G25" s="168"/>
      <c r="H25" s="168"/>
      <c r="I25" s="168"/>
      <c r="J25" s="169">
        <f t="shared" si="1"/>
        <v>0</v>
      </c>
    </row>
    <row r="26">
      <c r="A26" s="164">
        <v>22.0</v>
      </c>
      <c r="B26" s="170"/>
      <c r="C26" s="172"/>
      <c r="D26" s="171">
        <v>0.0</v>
      </c>
      <c r="E26" s="171">
        <v>0.0</v>
      </c>
      <c r="F26" s="172"/>
      <c r="G26" s="168"/>
      <c r="H26" s="168"/>
      <c r="I26" s="168"/>
      <c r="J26" s="169">
        <f t="shared" si="1"/>
        <v>0</v>
      </c>
    </row>
    <row r="27">
      <c r="A27" s="164">
        <v>23.0</v>
      </c>
      <c r="B27" s="170"/>
      <c r="C27" s="172"/>
      <c r="D27" s="171">
        <v>0.0</v>
      </c>
      <c r="E27" s="171">
        <v>0.0</v>
      </c>
      <c r="F27" s="172"/>
      <c r="G27" s="168"/>
      <c r="H27" s="168"/>
      <c r="I27" s="168"/>
      <c r="J27" s="169">
        <f t="shared" si="1"/>
        <v>0</v>
      </c>
    </row>
    <row r="28">
      <c r="A28" s="164">
        <v>24.0</v>
      </c>
      <c r="B28" s="170"/>
      <c r="C28" s="172"/>
      <c r="D28" s="171">
        <v>0.0</v>
      </c>
      <c r="E28" s="171">
        <v>0.0</v>
      </c>
      <c r="F28" s="172"/>
      <c r="G28" s="168"/>
      <c r="H28" s="168"/>
      <c r="I28" s="168"/>
      <c r="J28" s="169">
        <f t="shared" si="1"/>
        <v>0</v>
      </c>
    </row>
    <row r="29">
      <c r="A29" s="164">
        <v>25.0</v>
      </c>
      <c r="B29" s="170"/>
      <c r="C29" s="172"/>
      <c r="D29" s="171">
        <v>0.0</v>
      </c>
      <c r="E29" s="171">
        <v>0.0</v>
      </c>
      <c r="F29" s="172"/>
      <c r="G29" s="168"/>
      <c r="H29" s="168"/>
      <c r="I29" s="168"/>
      <c r="J29" s="169">
        <f t="shared" si="1"/>
        <v>0</v>
      </c>
    </row>
    <row r="30">
      <c r="A30" s="164">
        <v>26.0</v>
      </c>
      <c r="B30" s="170"/>
      <c r="C30" s="172"/>
      <c r="D30" s="171">
        <v>0.0</v>
      </c>
      <c r="E30" s="171">
        <v>0.0</v>
      </c>
      <c r="F30" s="172"/>
      <c r="G30" s="168"/>
      <c r="H30" s="168"/>
      <c r="I30" s="168"/>
      <c r="J30" s="169">
        <f t="shared" si="1"/>
        <v>0</v>
      </c>
    </row>
    <row r="31">
      <c r="A31" s="164">
        <v>27.0</v>
      </c>
      <c r="B31" s="170"/>
      <c r="C31" s="172"/>
      <c r="D31" s="171">
        <v>0.0</v>
      </c>
      <c r="E31" s="171">
        <v>0.0</v>
      </c>
      <c r="F31" s="172"/>
      <c r="G31" s="168"/>
      <c r="H31" s="168"/>
      <c r="I31" s="168"/>
      <c r="J31" s="169">
        <f t="shared" si="1"/>
        <v>0</v>
      </c>
    </row>
    <row r="32">
      <c r="A32" s="164">
        <v>28.0</v>
      </c>
      <c r="B32" s="170"/>
      <c r="C32" s="172"/>
      <c r="D32" s="171">
        <v>0.0</v>
      </c>
      <c r="E32" s="171">
        <v>0.0</v>
      </c>
      <c r="F32" s="172"/>
      <c r="G32" s="168"/>
      <c r="H32" s="168"/>
      <c r="I32" s="168"/>
      <c r="J32" s="169">
        <f t="shared" si="1"/>
        <v>0</v>
      </c>
    </row>
    <row r="33">
      <c r="A33" s="164">
        <v>29.0</v>
      </c>
      <c r="B33" s="170"/>
      <c r="C33" s="172"/>
      <c r="D33" s="171">
        <v>0.0</v>
      </c>
      <c r="E33" s="171">
        <v>0.0</v>
      </c>
      <c r="F33" s="172"/>
      <c r="G33" s="168"/>
      <c r="H33" s="168"/>
      <c r="I33" s="168"/>
      <c r="J33" s="169">
        <f t="shared" si="1"/>
        <v>0</v>
      </c>
    </row>
    <row r="34">
      <c r="A34" s="164">
        <v>30.0</v>
      </c>
      <c r="B34" s="170"/>
      <c r="C34" s="172"/>
      <c r="D34" s="171">
        <v>0.0</v>
      </c>
      <c r="E34" s="171">
        <v>0.0</v>
      </c>
      <c r="F34" s="172"/>
      <c r="G34" s="168"/>
      <c r="H34" s="168"/>
      <c r="I34" s="168"/>
      <c r="J34" s="169">
        <f t="shared" si="1"/>
        <v>0</v>
      </c>
    </row>
    <row r="35">
      <c r="A35" s="164">
        <v>31.0</v>
      </c>
      <c r="B35" s="170"/>
      <c r="C35" s="172"/>
      <c r="D35" s="171">
        <v>0.0</v>
      </c>
      <c r="E35" s="171">
        <v>0.0</v>
      </c>
      <c r="F35" s="172"/>
      <c r="G35" s="168"/>
      <c r="H35" s="168"/>
      <c r="I35" s="168"/>
      <c r="J35" s="169">
        <f t="shared" si="1"/>
        <v>0</v>
      </c>
    </row>
    <row r="36">
      <c r="A36" s="164">
        <v>32.0</v>
      </c>
      <c r="B36" s="170"/>
      <c r="C36" s="172"/>
      <c r="D36" s="171">
        <v>0.0</v>
      </c>
      <c r="E36" s="171">
        <v>0.0</v>
      </c>
      <c r="F36" s="172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72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72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16.13"/>
    <col customWidth="1" min="13" max="13" width="31.38"/>
    <col customWidth="1" min="14" max="14" width="21.75"/>
    <col customWidth="1" min="15" max="15" width="18.0"/>
  </cols>
  <sheetData>
    <row r="1">
      <c r="A1" s="145" t="s">
        <v>184</v>
      </c>
      <c r="B1" s="120"/>
      <c r="C1" s="120"/>
      <c r="D1" s="120"/>
      <c r="E1" s="120"/>
      <c r="F1" s="120"/>
      <c r="G1" s="120"/>
      <c r="H1" s="120"/>
      <c r="I1" s="120"/>
      <c r="J1" s="120"/>
      <c r="K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30"/>
    </row>
    <row r="3">
      <c r="A3" s="146" t="s">
        <v>117</v>
      </c>
      <c r="B3" s="147" t="s">
        <v>118</v>
      </c>
      <c r="C3" s="147" t="s">
        <v>119</v>
      </c>
      <c r="D3" s="147" t="s">
        <v>120</v>
      </c>
      <c r="E3" s="147" t="s">
        <v>121</v>
      </c>
      <c r="F3" s="143" t="s">
        <v>185</v>
      </c>
      <c r="G3" s="218" t="s">
        <v>186</v>
      </c>
      <c r="H3" s="218" t="s">
        <v>187</v>
      </c>
      <c r="I3" s="218" t="s">
        <v>188</v>
      </c>
      <c r="J3" s="148" t="s">
        <v>122</v>
      </c>
      <c r="K3" s="149" t="s">
        <v>126</v>
      </c>
    </row>
    <row r="4">
      <c r="A4" s="31"/>
      <c r="B4" s="31"/>
      <c r="C4" s="31"/>
      <c r="D4" s="31"/>
      <c r="E4" s="31"/>
      <c r="F4" s="31"/>
      <c r="G4" s="121"/>
      <c r="H4" s="121"/>
      <c r="I4" s="121"/>
      <c r="J4" s="31"/>
    </row>
    <row r="5">
      <c r="A5" s="150">
        <v>1.0</v>
      </c>
      <c r="B5" s="151">
        <v>46119.0</v>
      </c>
      <c r="C5" s="152" t="s">
        <v>46</v>
      </c>
      <c r="D5" s="153">
        <v>0.6319444444444444</v>
      </c>
      <c r="E5" s="153">
        <v>0.6826388888888889</v>
      </c>
      <c r="F5" s="152">
        <v>84.0</v>
      </c>
      <c r="G5" s="152">
        <v>82.1</v>
      </c>
      <c r="H5" s="152">
        <v>15.15</v>
      </c>
      <c r="I5" s="152">
        <v>5.2</v>
      </c>
      <c r="J5" s="152" t="s">
        <v>128</v>
      </c>
      <c r="K5" s="154">
        <f t="shared" ref="K5:K81" si="1">E5-D5</f>
        <v>0.05069444444</v>
      </c>
    </row>
    <row r="6">
      <c r="A6" s="150">
        <v>2.0</v>
      </c>
      <c r="B6" s="152"/>
      <c r="C6" s="152" t="s">
        <v>46</v>
      </c>
      <c r="D6" s="153">
        <v>0.71875</v>
      </c>
      <c r="E6" s="153">
        <v>0.7361111111111112</v>
      </c>
      <c r="F6" s="152">
        <v>84.15</v>
      </c>
      <c r="G6" s="152">
        <v>81.7</v>
      </c>
      <c r="H6" s="152"/>
      <c r="I6" s="152"/>
      <c r="J6" s="152" t="s">
        <v>146</v>
      </c>
      <c r="K6" s="154">
        <f t="shared" si="1"/>
        <v>0.01736111111</v>
      </c>
    </row>
    <row r="7">
      <c r="A7" s="150">
        <v>3.0</v>
      </c>
      <c r="B7" s="152"/>
      <c r="C7" s="152" t="s">
        <v>46</v>
      </c>
      <c r="D7" s="155">
        <v>0.0</v>
      </c>
      <c r="E7" s="155">
        <v>0.0</v>
      </c>
      <c r="F7" s="152"/>
      <c r="G7" s="157"/>
      <c r="H7" s="157"/>
      <c r="I7" s="157"/>
      <c r="J7" s="157"/>
      <c r="K7" s="154">
        <f t="shared" si="1"/>
        <v>0</v>
      </c>
    </row>
    <row r="8">
      <c r="A8" s="150">
        <v>4.0</v>
      </c>
      <c r="B8" s="152"/>
      <c r="C8" s="152" t="s">
        <v>46</v>
      </c>
      <c r="D8" s="155">
        <v>0.0</v>
      </c>
      <c r="E8" s="155">
        <v>0.0</v>
      </c>
      <c r="F8" s="157"/>
      <c r="G8" s="157"/>
      <c r="H8" s="157"/>
      <c r="I8" s="157"/>
      <c r="J8" s="157"/>
      <c r="K8" s="154">
        <f t="shared" si="1"/>
        <v>0</v>
      </c>
    </row>
    <row r="9">
      <c r="A9" s="150">
        <v>5.0</v>
      </c>
      <c r="B9" s="152"/>
      <c r="C9" s="152" t="s">
        <v>46</v>
      </c>
      <c r="D9" s="155">
        <v>0.0</v>
      </c>
      <c r="E9" s="155">
        <v>0.0</v>
      </c>
      <c r="F9" s="157"/>
      <c r="G9" s="157"/>
      <c r="H9" s="157"/>
      <c r="I9" s="157"/>
      <c r="J9" s="157"/>
      <c r="K9" s="154">
        <f t="shared" si="1"/>
        <v>0</v>
      </c>
    </row>
    <row r="10">
      <c r="A10" s="150">
        <v>6.0</v>
      </c>
      <c r="B10" s="152"/>
      <c r="C10" s="152" t="s">
        <v>46</v>
      </c>
      <c r="D10" s="155">
        <v>0.0</v>
      </c>
      <c r="E10" s="155">
        <v>0.0</v>
      </c>
      <c r="F10" s="157"/>
      <c r="G10" s="157"/>
      <c r="H10" s="157"/>
      <c r="I10" s="157"/>
      <c r="J10" s="157"/>
      <c r="K10" s="154">
        <f t="shared" si="1"/>
        <v>0</v>
      </c>
    </row>
    <row r="11">
      <c r="A11" s="150">
        <v>7.0</v>
      </c>
      <c r="B11" s="152"/>
      <c r="C11" s="152" t="s">
        <v>46</v>
      </c>
      <c r="D11" s="155">
        <v>0.0</v>
      </c>
      <c r="E11" s="155">
        <v>0.0</v>
      </c>
      <c r="F11" s="157"/>
      <c r="G11" s="157"/>
      <c r="H11" s="157"/>
      <c r="I11" s="157"/>
      <c r="J11" s="157"/>
      <c r="K11" s="154">
        <f t="shared" si="1"/>
        <v>0</v>
      </c>
    </row>
    <row r="12">
      <c r="A12" s="150">
        <v>8.0</v>
      </c>
      <c r="B12" s="152"/>
      <c r="C12" s="152" t="s">
        <v>46</v>
      </c>
      <c r="D12" s="155">
        <v>0.0</v>
      </c>
      <c r="E12" s="155">
        <v>0.0</v>
      </c>
      <c r="F12" s="157"/>
      <c r="G12" s="157"/>
      <c r="H12" s="157"/>
      <c r="I12" s="157"/>
      <c r="J12" s="157"/>
      <c r="K12" s="154">
        <f t="shared" si="1"/>
        <v>0</v>
      </c>
      <c r="P12" s="176"/>
    </row>
    <row r="13">
      <c r="A13" s="150">
        <v>9.0</v>
      </c>
      <c r="B13" s="152"/>
      <c r="C13" s="152" t="s">
        <v>46</v>
      </c>
      <c r="D13" s="155">
        <v>0.0</v>
      </c>
      <c r="E13" s="155">
        <v>0.0</v>
      </c>
      <c r="F13" s="157"/>
      <c r="G13" s="157"/>
      <c r="H13" s="157"/>
      <c r="I13" s="157"/>
      <c r="J13" s="157"/>
      <c r="K13" s="154">
        <f t="shared" si="1"/>
        <v>0</v>
      </c>
      <c r="P13" s="176"/>
    </row>
    <row r="14">
      <c r="A14" s="150">
        <v>10.0</v>
      </c>
      <c r="B14" s="152"/>
      <c r="C14" s="152" t="s">
        <v>46</v>
      </c>
      <c r="D14" s="155">
        <v>0.0</v>
      </c>
      <c r="E14" s="155">
        <v>0.0</v>
      </c>
      <c r="F14" s="157"/>
      <c r="G14" s="157"/>
      <c r="H14" s="157"/>
      <c r="I14" s="157"/>
      <c r="J14" s="157"/>
      <c r="K14" s="154">
        <f t="shared" si="1"/>
        <v>0</v>
      </c>
      <c r="P14" s="176"/>
    </row>
    <row r="15">
      <c r="A15" s="150">
        <v>11.0</v>
      </c>
      <c r="B15" s="152"/>
      <c r="C15" s="152" t="s">
        <v>46</v>
      </c>
      <c r="D15" s="155">
        <v>0.0</v>
      </c>
      <c r="E15" s="155">
        <v>0.0</v>
      </c>
      <c r="F15" s="157"/>
      <c r="G15" s="157"/>
      <c r="H15" s="157"/>
      <c r="I15" s="157"/>
      <c r="J15" s="157"/>
      <c r="K15" s="154">
        <f t="shared" si="1"/>
        <v>0</v>
      </c>
      <c r="M15" s="176"/>
      <c r="N15" s="176"/>
      <c r="O15" s="176"/>
      <c r="P15" s="176"/>
    </row>
    <row r="16">
      <c r="A16" s="150">
        <v>12.0</v>
      </c>
      <c r="B16" s="152"/>
      <c r="C16" s="152" t="s">
        <v>46</v>
      </c>
      <c r="D16" s="155">
        <v>0.0</v>
      </c>
      <c r="E16" s="155">
        <v>0.0</v>
      </c>
      <c r="F16" s="157"/>
      <c r="G16" s="157"/>
      <c r="H16" s="157"/>
      <c r="I16" s="157"/>
      <c r="J16" s="157"/>
      <c r="K16" s="154">
        <f t="shared" si="1"/>
        <v>0</v>
      </c>
      <c r="M16" s="73" t="s">
        <v>129</v>
      </c>
      <c r="N16" s="73" t="s">
        <v>130</v>
      </c>
      <c r="O16" s="73" t="s">
        <v>131</v>
      </c>
      <c r="P16" s="73" t="s">
        <v>132</v>
      </c>
      <c r="Q16" s="73" t="s">
        <v>133</v>
      </c>
    </row>
    <row r="17">
      <c r="A17" s="150">
        <v>13.0</v>
      </c>
      <c r="B17" s="152"/>
      <c r="C17" s="152" t="s">
        <v>46</v>
      </c>
      <c r="D17" s="155">
        <v>0.0</v>
      </c>
      <c r="E17" s="155">
        <v>0.0</v>
      </c>
      <c r="F17" s="157"/>
      <c r="G17" s="157"/>
      <c r="H17" s="157"/>
      <c r="I17" s="157"/>
      <c r="J17" s="157"/>
      <c r="K17" s="154">
        <f t="shared" si="1"/>
        <v>0</v>
      </c>
      <c r="M17" s="177">
        <f>COUNTA(J5:J45)</f>
        <v>2</v>
      </c>
      <c r="N17" s="177">
        <f>COUNTIF(J5:J46,"non")</f>
        <v>1</v>
      </c>
      <c r="O17" s="177">
        <f>COUNTIF(J5:J45,"oui")</f>
        <v>1</v>
      </c>
      <c r="P17" s="177">
        <f>(M17-N17)/M17</f>
        <v>0.5</v>
      </c>
      <c r="Q17" s="139">
        <f>AVERAGEIF(K$5:K$200,"&lt;&gt;0")</f>
        <v>0.03402777778</v>
      </c>
    </row>
    <row r="18">
      <c r="A18" s="150">
        <v>14.0</v>
      </c>
      <c r="B18" s="152"/>
      <c r="C18" s="152" t="s">
        <v>46</v>
      </c>
      <c r="D18" s="155">
        <v>0.0</v>
      </c>
      <c r="E18" s="155">
        <v>0.0</v>
      </c>
      <c r="F18" s="157"/>
      <c r="G18" s="157"/>
      <c r="H18" s="157"/>
      <c r="I18" s="157"/>
      <c r="J18" s="157"/>
      <c r="K18" s="154">
        <f t="shared" si="1"/>
        <v>0</v>
      </c>
    </row>
    <row r="19">
      <c r="A19" s="150">
        <v>15.0</v>
      </c>
      <c r="B19" s="152"/>
      <c r="C19" s="152" t="s">
        <v>46</v>
      </c>
      <c r="D19" s="155">
        <v>0.0</v>
      </c>
      <c r="E19" s="155">
        <v>0.0</v>
      </c>
      <c r="F19" s="157"/>
      <c r="G19" s="157"/>
      <c r="H19" s="157"/>
      <c r="I19" s="157"/>
      <c r="J19" s="157"/>
      <c r="K19" s="154">
        <f t="shared" si="1"/>
        <v>0</v>
      </c>
    </row>
    <row r="20">
      <c r="A20" s="150">
        <v>16.0</v>
      </c>
      <c r="B20" s="152"/>
      <c r="C20" s="152" t="s">
        <v>46</v>
      </c>
      <c r="D20" s="155">
        <v>0.0</v>
      </c>
      <c r="E20" s="155">
        <v>0.0</v>
      </c>
      <c r="F20" s="157"/>
      <c r="G20" s="157"/>
      <c r="H20" s="157"/>
      <c r="I20" s="157"/>
      <c r="J20" s="157"/>
      <c r="K20" s="154">
        <f t="shared" si="1"/>
        <v>0</v>
      </c>
    </row>
    <row r="21">
      <c r="A21" s="150">
        <v>17.0</v>
      </c>
      <c r="B21" s="152"/>
      <c r="C21" s="152" t="s">
        <v>46</v>
      </c>
      <c r="D21" s="155">
        <v>0.0</v>
      </c>
      <c r="E21" s="155">
        <v>0.0</v>
      </c>
      <c r="F21" s="157"/>
      <c r="G21" s="157"/>
      <c r="H21" s="157"/>
      <c r="I21" s="157"/>
      <c r="J21" s="157"/>
      <c r="K21" s="154">
        <f t="shared" si="1"/>
        <v>0</v>
      </c>
    </row>
    <row r="22">
      <c r="A22" s="150">
        <v>18.0</v>
      </c>
      <c r="B22" s="152"/>
      <c r="C22" s="152" t="s">
        <v>46</v>
      </c>
      <c r="D22" s="155">
        <v>0.0</v>
      </c>
      <c r="E22" s="155">
        <v>0.0</v>
      </c>
      <c r="F22" s="157"/>
      <c r="G22" s="157"/>
      <c r="H22" s="157"/>
      <c r="I22" s="157"/>
      <c r="J22" s="157"/>
      <c r="K22" s="154">
        <f t="shared" si="1"/>
        <v>0</v>
      </c>
    </row>
    <row r="23">
      <c r="A23" s="150">
        <v>19.0</v>
      </c>
      <c r="B23" s="152"/>
      <c r="C23" s="152" t="s">
        <v>46</v>
      </c>
      <c r="D23" s="155">
        <v>0.0</v>
      </c>
      <c r="E23" s="155">
        <v>0.0</v>
      </c>
      <c r="F23" s="157"/>
      <c r="G23" s="157"/>
      <c r="H23" s="157"/>
      <c r="I23" s="157"/>
      <c r="J23" s="157"/>
      <c r="K23" s="154">
        <f t="shared" si="1"/>
        <v>0</v>
      </c>
    </row>
    <row r="24">
      <c r="A24" s="150">
        <v>20.0</v>
      </c>
      <c r="B24" s="152"/>
      <c r="C24" s="152" t="s">
        <v>46</v>
      </c>
      <c r="D24" s="155">
        <v>0.0</v>
      </c>
      <c r="E24" s="155">
        <v>0.0</v>
      </c>
      <c r="F24" s="157"/>
      <c r="G24" s="157"/>
      <c r="H24" s="157"/>
      <c r="I24" s="157"/>
      <c r="J24" s="157"/>
      <c r="K24" s="154">
        <f t="shared" si="1"/>
        <v>0</v>
      </c>
    </row>
    <row r="25">
      <c r="A25" s="150">
        <v>21.0</v>
      </c>
      <c r="B25" s="152"/>
      <c r="C25" s="152" t="s">
        <v>46</v>
      </c>
      <c r="D25" s="155">
        <v>0.0</v>
      </c>
      <c r="E25" s="155">
        <v>0.0</v>
      </c>
      <c r="F25" s="157"/>
      <c r="G25" s="157"/>
      <c r="H25" s="157"/>
      <c r="I25" s="157"/>
      <c r="J25" s="157"/>
      <c r="K25" s="154">
        <f t="shared" si="1"/>
        <v>0</v>
      </c>
    </row>
    <row r="26">
      <c r="A26" s="150">
        <v>22.0</v>
      </c>
      <c r="B26" s="152"/>
      <c r="C26" s="152" t="s">
        <v>46</v>
      </c>
      <c r="D26" s="155">
        <v>0.0</v>
      </c>
      <c r="E26" s="155">
        <v>0.0</v>
      </c>
      <c r="F26" s="157"/>
      <c r="G26" s="157"/>
      <c r="H26" s="157"/>
      <c r="I26" s="157"/>
      <c r="J26" s="157"/>
      <c r="K26" s="154">
        <f t="shared" si="1"/>
        <v>0</v>
      </c>
    </row>
    <row r="27">
      <c r="A27" s="150">
        <v>23.0</v>
      </c>
      <c r="B27" s="152"/>
      <c r="C27" s="152" t="s">
        <v>46</v>
      </c>
      <c r="D27" s="155">
        <v>0.0</v>
      </c>
      <c r="E27" s="155">
        <v>0.0</v>
      </c>
      <c r="F27" s="157"/>
      <c r="G27" s="157"/>
      <c r="H27" s="157"/>
      <c r="I27" s="157"/>
      <c r="J27" s="157"/>
      <c r="K27" s="154">
        <f t="shared" si="1"/>
        <v>0</v>
      </c>
    </row>
    <row r="28">
      <c r="A28" s="150">
        <v>24.0</v>
      </c>
      <c r="B28" s="152"/>
      <c r="C28" s="152" t="s">
        <v>46</v>
      </c>
      <c r="D28" s="155">
        <v>0.0</v>
      </c>
      <c r="E28" s="155">
        <v>0.0</v>
      </c>
      <c r="F28" s="156"/>
      <c r="G28" s="157"/>
      <c r="H28" s="157"/>
      <c r="I28" s="157"/>
      <c r="J28" s="157"/>
      <c r="K28" s="154">
        <f t="shared" si="1"/>
        <v>0</v>
      </c>
    </row>
    <row r="29">
      <c r="A29" s="150">
        <v>25.0</v>
      </c>
      <c r="B29" s="152"/>
      <c r="C29" s="152" t="s">
        <v>46</v>
      </c>
      <c r="D29" s="155">
        <v>0.0</v>
      </c>
      <c r="E29" s="155">
        <v>0.0</v>
      </c>
      <c r="F29" s="156"/>
      <c r="G29" s="157"/>
      <c r="H29" s="157"/>
      <c r="I29" s="157"/>
      <c r="J29" s="157"/>
      <c r="K29" s="154">
        <f t="shared" si="1"/>
        <v>0</v>
      </c>
    </row>
    <row r="30">
      <c r="A30" s="150">
        <v>26.0</v>
      </c>
      <c r="B30" s="152"/>
      <c r="C30" s="152" t="s">
        <v>46</v>
      </c>
      <c r="D30" s="155">
        <v>0.0</v>
      </c>
      <c r="E30" s="155">
        <v>0.0</v>
      </c>
      <c r="F30" s="156"/>
      <c r="G30" s="157"/>
      <c r="H30" s="157"/>
      <c r="I30" s="157"/>
      <c r="J30" s="157"/>
      <c r="K30" s="154">
        <f t="shared" si="1"/>
        <v>0</v>
      </c>
    </row>
    <row r="31">
      <c r="A31" s="150">
        <v>27.0</v>
      </c>
      <c r="B31" s="152"/>
      <c r="C31" s="152" t="s">
        <v>46</v>
      </c>
      <c r="D31" s="155">
        <v>0.0</v>
      </c>
      <c r="E31" s="155">
        <v>0.0</v>
      </c>
      <c r="F31" s="156"/>
      <c r="G31" s="157"/>
      <c r="H31" s="157"/>
      <c r="I31" s="157"/>
      <c r="J31" s="157"/>
      <c r="K31" s="154">
        <f t="shared" si="1"/>
        <v>0</v>
      </c>
    </row>
    <row r="32">
      <c r="A32" s="150">
        <v>28.0</v>
      </c>
      <c r="B32" s="152"/>
      <c r="C32" s="152" t="s">
        <v>46</v>
      </c>
      <c r="D32" s="155">
        <v>0.0</v>
      </c>
      <c r="E32" s="155">
        <v>0.0</v>
      </c>
      <c r="F32" s="156"/>
      <c r="G32" s="157"/>
      <c r="H32" s="157"/>
      <c r="I32" s="157"/>
      <c r="J32" s="157"/>
      <c r="K32" s="154">
        <f t="shared" si="1"/>
        <v>0</v>
      </c>
    </row>
    <row r="33">
      <c r="A33" s="150">
        <v>29.0</v>
      </c>
      <c r="B33" s="152"/>
      <c r="C33" s="152" t="s">
        <v>46</v>
      </c>
      <c r="D33" s="155">
        <v>0.0</v>
      </c>
      <c r="E33" s="155">
        <v>0.0</v>
      </c>
      <c r="F33" s="156"/>
      <c r="G33" s="157"/>
      <c r="H33" s="157"/>
      <c r="I33" s="157"/>
      <c r="J33" s="157"/>
      <c r="K33" s="154">
        <f t="shared" si="1"/>
        <v>0</v>
      </c>
    </row>
    <row r="34">
      <c r="A34" s="150">
        <v>30.0</v>
      </c>
      <c r="B34" s="152"/>
      <c r="C34" s="152" t="s">
        <v>46</v>
      </c>
      <c r="D34" s="155">
        <v>0.0</v>
      </c>
      <c r="E34" s="155">
        <v>0.0</v>
      </c>
      <c r="F34" s="156"/>
      <c r="G34" s="157"/>
      <c r="H34" s="157"/>
      <c r="I34" s="157"/>
      <c r="J34" s="157"/>
      <c r="K34" s="154">
        <f t="shared" si="1"/>
        <v>0</v>
      </c>
    </row>
    <row r="35">
      <c r="A35" s="219">
        <v>31.0</v>
      </c>
      <c r="B35" s="152"/>
      <c r="C35" s="152" t="s">
        <v>46</v>
      </c>
      <c r="D35" s="155">
        <v>0.0</v>
      </c>
      <c r="E35" s="155">
        <v>0.0</v>
      </c>
      <c r="F35" s="156"/>
      <c r="G35" s="157"/>
      <c r="H35" s="157"/>
      <c r="I35" s="157"/>
      <c r="J35" s="156"/>
      <c r="K35" s="154">
        <f t="shared" si="1"/>
        <v>0</v>
      </c>
    </row>
    <row r="36">
      <c r="A36" s="219">
        <v>32.0</v>
      </c>
      <c r="B36" s="152"/>
      <c r="C36" s="152" t="s">
        <v>46</v>
      </c>
      <c r="D36" s="155">
        <v>0.0</v>
      </c>
      <c r="E36" s="155">
        <v>0.0</v>
      </c>
      <c r="F36" s="156"/>
      <c r="G36" s="157"/>
      <c r="H36" s="157"/>
      <c r="I36" s="157"/>
      <c r="J36" s="156"/>
      <c r="K36" s="154">
        <f t="shared" si="1"/>
        <v>0</v>
      </c>
    </row>
    <row r="37">
      <c r="A37" s="219">
        <v>33.0</v>
      </c>
      <c r="B37" s="152"/>
      <c r="C37" s="152" t="s">
        <v>46</v>
      </c>
      <c r="D37" s="155">
        <v>0.0</v>
      </c>
      <c r="E37" s="155">
        <v>0.0</v>
      </c>
      <c r="F37" s="156"/>
      <c r="G37" s="157"/>
      <c r="H37" s="157"/>
      <c r="I37" s="157"/>
      <c r="J37" s="156"/>
      <c r="K37" s="154">
        <f t="shared" si="1"/>
        <v>0</v>
      </c>
    </row>
    <row r="38">
      <c r="A38" s="219">
        <v>34.0</v>
      </c>
      <c r="B38" s="152"/>
      <c r="C38" s="152" t="s">
        <v>46</v>
      </c>
      <c r="D38" s="155">
        <v>0.0</v>
      </c>
      <c r="E38" s="155">
        <v>0.0</v>
      </c>
      <c r="F38" s="156"/>
      <c r="G38" s="157"/>
      <c r="H38" s="157"/>
      <c r="I38" s="157"/>
      <c r="J38" s="156"/>
      <c r="K38" s="154">
        <f t="shared" si="1"/>
        <v>0</v>
      </c>
    </row>
    <row r="39">
      <c r="A39" s="219">
        <v>35.0</v>
      </c>
      <c r="B39" s="152"/>
      <c r="C39" s="152" t="s">
        <v>46</v>
      </c>
      <c r="D39" s="155">
        <v>0.0</v>
      </c>
      <c r="E39" s="155">
        <v>0.0</v>
      </c>
      <c r="F39" s="156"/>
      <c r="G39" s="157"/>
      <c r="H39" s="157"/>
      <c r="I39" s="157"/>
      <c r="J39" s="156"/>
      <c r="K39" s="154">
        <f t="shared" si="1"/>
        <v>0</v>
      </c>
    </row>
    <row r="40">
      <c r="A40" s="219">
        <v>36.0</v>
      </c>
      <c r="B40" s="152"/>
      <c r="C40" s="152" t="s">
        <v>46</v>
      </c>
      <c r="D40" s="155">
        <v>0.0</v>
      </c>
      <c r="E40" s="155">
        <v>0.0</v>
      </c>
      <c r="F40" s="156"/>
      <c r="G40" s="157"/>
      <c r="H40" s="157"/>
      <c r="I40" s="157"/>
      <c r="J40" s="156"/>
      <c r="K40" s="154">
        <f t="shared" si="1"/>
        <v>0</v>
      </c>
    </row>
    <row r="41">
      <c r="A41" s="219">
        <v>37.0</v>
      </c>
      <c r="B41" s="152"/>
      <c r="C41" s="152" t="s">
        <v>46</v>
      </c>
      <c r="D41" s="155">
        <v>0.0</v>
      </c>
      <c r="E41" s="155">
        <v>0.0</v>
      </c>
      <c r="F41" s="156"/>
      <c r="G41" s="156"/>
      <c r="H41" s="156"/>
      <c r="I41" s="156"/>
      <c r="J41" s="156"/>
      <c r="K41" s="154">
        <f t="shared" si="1"/>
        <v>0</v>
      </c>
    </row>
    <row r="42">
      <c r="A42" s="219">
        <v>38.0</v>
      </c>
      <c r="B42" s="152"/>
      <c r="C42" s="152" t="s">
        <v>46</v>
      </c>
      <c r="D42" s="155">
        <v>0.0</v>
      </c>
      <c r="E42" s="155">
        <v>0.0</v>
      </c>
      <c r="F42" s="156"/>
      <c r="G42" s="156"/>
      <c r="H42" s="156"/>
      <c r="I42" s="156"/>
      <c r="J42" s="156"/>
      <c r="K42" s="154">
        <f t="shared" si="1"/>
        <v>0</v>
      </c>
    </row>
    <row r="43">
      <c r="A43" s="219">
        <v>39.0</v>
      </c>
      <c r="B43" s="152"/>
      <c r="C43" s="152" t="s">
        <v>46</v>
      </c>
      <c r="D43" s="155">
        <v>0.0</v>
      </c>
      <c r="E43" s="155">
        <v>0.0</v>
      </c>
      <c r="F43" s="156"/>
      <c r="G43" s="156"/>
      <c r="H43" s="156"/>
      <c r="I43" s="156"/>
      <c r="J43" s="156"/>
      <c r="K43" s="154">
        <f t="shared" si="1"/>
        <v>0</v>
      </c>
    </row>
    <row r="44">
      <c r="A44" s="219">
        <v>40.0</v>
      </c>
      <c r="B44" s="152"/>
      <c r="C44" s="152" t="s">
        <v>46</v>
      </c>
      <c r="D44" s="155">
        <v>0.0</v>
      </c>
      <c r="E44" s="155">
        <v>0.0</v>
      </c>
      <c r="F44" s="156"/>
      <c r="G44" s="156"/>
      <c r="H44" s="156"/>
      <c r="I44" s="156"/>
      <c r="J44" s="156"/>
      <c r="K44" s="154">
        <f t="shared" si="1"/>
        <v>0</v>
      </c>
    </row>
    <row r="45">
      <c r="A45" s="219">
        <v>41.0</v>
      </c>
      <c r="B45" s="152"/>
      <c r="C45" s="152" t="s">
        <v>46</v>
      </c>
      <c r="D45" s="155">
        <v>0.0</v>
      </c>
      <c r="E45" s="155">
        <v>0.0</v>
      </c>
      <c r="F45" s="156"/>
      <c r="G45" s="156"/>
      <c r="H45" s="156"/>
      <c r="I45" s="156"/>
      <c r="J45" s="156"/>
      <c r="K45" s="154">
        <f t="shared" si="1"/>
        <v>0</v>
      </c>
    </row>
    <row r="46">
      <c r="A46" s="219">
        <v>42.0</v>
      </c>
      <c r="B46" s="152"/>
      <c r="C46" s="152" t="s">
        <v>46</v>
      </c>
      <c r="D46" s="155">
        <v>0.0</v>
      </c>
      <c r="E46" s="155">
        <v>0.0</v>
      </c>
      <c r="F46" s="156"/>
      <c r="G46" s="156"/>
      <c r="H46" s="156"/>
      <c r="I46" s="156"/>
      <c r="J46" s="156"/>
      <c r="K46" s="154">
        <f t="shared" si="1"/>
        <v>0</v>
      </c>
    </row>
    <row r="47">
      <c r="A47" s="219">
        <v>43.0</v>
      </c>
      <c r="B47" s="152"/>
      <c r="C47" s="152" t="s">
        <v>46</v>
      </c>
      <c r="D47" s="155">
        <v>0.0</v>
      </c>
      <c r="E47" s="155">
        <v>0.0</v>
      </c>
      <c r="F47" s="156"/>
      <c r="G47" s="156"/>
      <c r="H47" s="156"/>
      <c r="I47" s="156"/>
      <c r="J47" s="156"/>
      <c r="K47" s="154">
        <f t="shared" si="1"/>
        <v>0</v>
      </c>
    </row>
    <row r="48">
      <c r="A48" s="219">
        <v>44.0</v>
      </c>
      <c r="B48" s="152"/>
      <c r="C48" s="152" t="s">
        <v>46</v>
      </c>
      <c r="D48" s="155">
        <v>0.0</v>
      </c>
      <c r="E48" s="155">
        <v>0.0</v>
      </c>
      <c r="F48" s="156"/>
      <c r="G48" s="156"/>
      <c r="H48" s="156"/>
      <c r="I48" s="156"/>
      <c r="J48" s="156"/>
      <c r="K48" s="154">
        <f t="shared" si="1"/>
        <v>0</v>
      </c>
    </row>
    <row r="49">
      <c r="A49" s="219">
        <v>45.0</v>
      </c>
      <c r="B49" s="152"/>
      <c r="C49" s="152" t="s">
        <v>46</v>
      </c>
      <c r="D49" s="155">
        <v>0.0</v>
      </c>
      <c r="E49" s="155">
        <v>0.0</v>
      </c>
      <c r="F49" s="156"/>
      <c r="G49" s="156"/>
      <c r="H49" s="156"/>
      <c r="I49" s="156"/>
      <c r="J49" s="156"/>
      <c r="K49" s="154">
        <f t="shared" si="1"/>
        <v>0</v>
      </c>
    </row>
    <row r="50">
      <c r="A50" s="219">
        <v>46.0</v>
      </c>
      <c r="B50" s="152"/>
      <c r="C50" s="152" t="s">
        <v>46</v>
      </c>
      <c r="D50" s="155">
        <v>0.0</v>
      </c>
      <c r="E50" s="155">
        <v>0.0</v>
      </c>
      <c r="F50" s="156"/>
      <c r="G50" s="156"/>
      <c r="H50" s="156"/>
      <c r="I50" s="156"/>
      <c r="J50" s="156"/>
      <c r="K50" s="154">
        <f t="shared" si="1"/>
        <v>0</v>
      </c>
    </row>
    <row r="51">
      <c r="A51" s="219">
        <v>47.0</v>
      </c>
      <c r="B51" s="152"/>
      <c r="C51" s="152" t="s">
        <v>46</v>
      </c>
      <c r="D51" s="155">
        <v>0.0</v>
      </c>
      <c r="E51" s="155">
        <v>0.0</v>
      </c>
      <c r="F51" s="156"/>
      <c r="G51" s="156"/>
      <c r="H51" s="156"/>
      <c r="I51" s="156"/>
      <c r="J51" s="156"/>
      <c r="K51" s="154">
        <f t="shared" si="1"/>
        <v>0</v>
      </c>
    </row>
    <row r="52">
      <c r="A52" s="219">
        <v>48.0</v>
      </c>
      <c r="B52" s="152"/>
      <c r="C52" s="152" t="s">
        <v>46</v>
      </c>
      <c r="D52" s="155">
        <v>0.0</v>
      </c>
      <c r="E52" s="155">
        <v>0.0</v>
      </c>
      <c r="F52" s="156"/>
      <c r="G52" s="156"/>
      <c r="H52" s="156"/>
      <c r="I52" s="156"/>
      <c r="J52" s="156"/>
      <c r="K52" s="154">
        <f t="shared" si="1"/>
        <v>0</v>
      </c>
    </row>
    <row r="53">
      <c r="A53" s="219">
        <v>49.0</v>
      </c>
      <c r="B53" s="152"/>
      <c r="C53" s="152" t="s">
        <v>46</v>
      </c>
      <c r="D53" s="155">
        <v>0.0</v>
      </c>
      <c r="E53" s="155">
        <v>0.0</v>
      </c>
      <c r="F53" s="156"/>
      <c r="G53" s="156"/>
      <c r="H53" s="156"/>
      <c r="I53" s="156"/>
      <c r="J53" s="156"/>
      <c r="K53" s="154">
        <f t="shared" si="1"/>
        <v>0</v>
      </c>
    </row>
    <row r="54">
      <c r="A54" s="219">
        <v>50.0</v>
      </c>
      <c r="B54" s="152"/>
      <c r="C54" s="152" t="s">
        <v>46</v>
      </c>
      <c r="D54" s="155">
        <v>0.0</v>
      </c>
      <c r="E54" s="155">
        <v>0.0</v>
      </c>
      <c r="F54" s="156"/>
      <c r="G54" s="156"/>
      <c r="H54" s="156"/>
      <c r="I54" s="156"/>
      <c r="J54" s="156"/>
      <c r="K54" s="154">
        <f t="shared" si="1"/>
        <v>0</v>
      </c>
    </row>
    <row r="55">
      <c r="A55" s="219">
        <v>51.0</v>
      </c>
      <c r="B55" s="152"/>
      <c r="C55" s="152" t="s">
        <v>46</v>
      </c>
      <c r="D55" s="155">
        <v>0.0</v>
      </c>
      <c r="E55" s="155">
        <v>0.0</v>
      </c>
      <c r="F55" s="156"/>
      <c r="G55" s="156"/>
      <c r="H55" s="156"/>
      <c r="I55" s="156"/>
      <c r="J55" s="156"/>
      <c r="K55" s="154">
        <f t="shared" si="1"/>
        <v>0</v>
      </c>
    </row>
    <row r="56">
      <c r="A56" s="219">
        <v>52.0</v>
      </c>
      <c r="B56" s="152"/>
      <c r="C56" s="152" t="s">
        <v>46</v>
      </c>
      <c r="D56" s="155">
        <v>0.0</v>
      </c>
      <c r="E56" s="155">
        <v>0.0</v>
      </c>
      <c r="F56" s="156"/>
      <c r="G56" s="156"/>
      <c r="H56" s="156"/>
      <c r="I56" s="156"/>
      <c r="J56" s="156"/>
      <c r="K56" s="154">
        <f t="shared" si="1"/>
        <v>0</v>
      </c>
    </row>
    <row r="57">
      <c r="A57" s="219">
        <v>53.0</v>
      </c>
      <c r="B57" s="152"/>
      <c r="C57" s="152" t="s">
        <v>46</v>
      </c>
      <c r="D57" s="155">
        <v>0.0</v>
      </c>
      <c r="E57" s="155">
        <v>0.0</v>
      </c>
      <c r="F57" s="156"/>
      <c r="G57" s="156"/>
      <c r="H57" s="156"/>
      <c r="I57" s="156"/>
      <c r="J57" s="156"/>
      <c r="K57" s="154">
        <f t="shared" si="1"/>
        <v>0</v>
      </c>
    </row>
    <row r="58">
      <c r="A58" s="219">
        <v>54.0</v>
      </c>
      <c r="B58" s="152"/>
      <c r="C58" s="152" t="s">
        <v>46</v>
      </c>
      <c r="D58" s="155">
        <v>0.0</v>
      </c>
      <c r="E58" s="155">
        <v>0.0</v>
      </c>
      <c r="F58" s="156"/>
      <c r="G58" s="156"/>
      <c r="H58" s="156"/>
      <c r="I58" s="156"/>
      <c r="J58" s="156"/>
      <c r="K58" s="154">
        <f t="shared" si="1"/>
        <v>0</v>
      </c>
    </row>
    <row r="59">
      <c r="A59" s="219">
        <v>55.0</v>
      </c>
      <c r="B59" s="152"/>
      <c r="C59" s="152" t="s">
        <v>46</v>
      </c>
      <c r="D59" s="155">
        <v>0.0</v>
      </c>
      <c r="E59" s="155">
        <v>0.0</v>
      </c>
      <c r="F59" s="156"/>
      <c r="G59" s="156"/>
      <c r="H59" s="156"/>
      <c r="I59" s="156"/>
      <c r="J59" s="156"/>
      <c r="K59" s="154">
        <f t="shared" si="1"/>
        <v>0</v>
      </c>
    </row>
    <row r="60">
      <c r="A60" s="219">
        <v>56.0</v>
      </c>
      <c r="B60" s="152"/>
      <c r="C60" s="152" t="s">
        <v>46</v>
      </c>
      <c r="D60" s="155">
        <v>0.0</v>
      </c>
      <c r="E60" s="155">
        <v>0.0</v>
      </c>
      <c r="F60" s="156"/>
      <c r="G60" s="156"/>
      <c r="H60" s="156"/>
      <c r="I60" s="156"/>
      <c r="J60" s="156"/>
      <c r="K60" s="154">
        <f t="shared" si="1"/>
        <v>0</v>
      </c>
    </row>
    <row r="61">
      <c r="A61" s="219">
        <v>57.0</v>
      </c>
      <c r="B61" s="152"/>
      <c r="C61" s="152" t="s">
        <v>46</v>
      </c>
      <c r="D61" s="155">
        <v>0.0</v>
      </c>
      <c r="E61" s="155">
        <v>0.0</v>
      </c>
      <c r="F61" s="156"/>
      <c r="G61" s="156"/>
      <c r="H61" s="156"/>
      <c r="I61" s="156"/>
      <c r="J61" s="156"/>
      <c r="K61" s="154">
        <f t="shared" si="1"/>
        <v>0</v>
      </c>
    </row>
    <row r="62">
      <c r="A62" s="219">
        <v>58.0</v>
      </c>
      <c r="B62" s="152"/>
      <c r="C62" s="152" t="s">
        <v>46</v>
      </c>
      <c r="D62" s="155">
        <v>0.0</v>
      </c>
      <c r="E62" s="155">
        <v>0.0</v>
      </c>
      <c r="F62" s="156"/>
      <c r="G62" s="156"/>
      <c r="H62" s="156"/>
      <c r="I62" s="156"/>
      <c r="J62" s="156"/>
      <c r="K62" s="154">
        <f t="shared" si="1"/>
        <v>0</v>
      </c>
    </row>
    <row r="63">
      <c r="A63" s="219">
        <v>59.0</v>
      </c>
      <c r="B63" s="152"/>
      <c r="C63" s="152" t="s">
        <v>46</v>
      </c>
      <c r="D63" s="155">
        <v>0.0</v>
      </c>
      <c r="E63" s="155">
        <v>0.0</v>
      </c>
      <c r="F63" s="156"/>
      <c r="G63" s="156"/>
      <c r="H63" s="156"/>
      <c r="I63" s="156"/>
      <c r="J63" s="156"/>
      <c r="K63" s="154">
        <f t="shared" si="1"/>
        <v>0</v>
      </c>
    </row>
    <row r="64">
      <c r="A64" s="219">
        <v>60.0</v>
      </c>
      <c r="B64" s="152"/>
      <c r="C64" s="152" t="s">
        <v>46</v>
      </c>
      <c r="D64" s="155">
        <v>0.0</v>
      </c>
      <c r="E64" s="155">
        <v>0.0</v>
      </c>
      <c r="F64" s="156"/>
      <c r="G64" s="156"/>
      <c r="H64" s="156"/>
      <c r="I64" s="156"/>
      <c r="J64" s="156"/>
      <c r="K64" s="154">
        <f t="shared" si="1"/>
        <v>0</v>
      </c>
    </row>
    <row r="65">
      <c r="A65" s="219">
        <v>61.0</v>
      </c>
      <c r="B65" s="152"/>
      <c r="C65" s="152" t="s">
        <v>46</v>
      </c>
      <c r="D65" s="155">
        <v>0.0</v>
      </c>
      <c r="E65" s="155">
        <v>0.0</v>
      </c>
      <c r="F65" s="156"/>
      <c r="G65" s="156"/>
      <c r="H65" s="156"/>
      <c r="I65" s="156"/>
      <c r="J65" s="156"/>
      <c r="K65" s="154">
        <f t="shared" si="1"/>
        <v>0</v>
      </c>
    </row>
    <row r="66">
      <c r="A66" s="219">
        <v>62.0</v>
      </c>
      <c r="B66" s="152"/>
      <c r="C66" s="152" t="s">
        <v>46</v>
      </c>
      <c r="D66" s="155">
        <v>0.0</v>
      </c>
      <c r="E66" s="155">
        <v>0.0</v>
      </c>
      <c r="F66" s="156"/>
      <c r="G66" s="156"/>
      <c r="H66" s="156"/>
      <c r="I66" s="156"/>
      <c r="J66" s="156"/>
      <c r="K66" s="154">
        <f t="shared" si="1"/>
        <v>0</v>
      </c>
    </row>
    <row r="67">
      <c r="A67" s="219">
        <v>63.0</v>
      </c>
      <c r="B67" s="152"/>
      <c r="C67" s="152" t="s">
        <v>46</v>
      </c>
      <c r="D67" s="155">
        <v>0.0</v>
      </c>
      <c r="E67" s="155">
        <v>0.0</v>
      </c>
      <c r="F67" s="156"/>
      <c r="G67" s="156"/>
      <c r="H67" s="156"/>
      <c r="I67" s="156"/>
      <c r="J67" s="156"/>
      <c r="K67" s="154">
        <f t="shared" si="1"/>
        <v>0</v>
      </c>
    </row>
    <row r="68">
      <c r="A68" s="219">
        <v>64.0</v>
      </c>
      <c r="B68" s="152"/>
      <c r="C68" s="152" t="s">
        <v>46</v>
      </c>
      <c r="D68" s="155">
        <v>0.0</v>
      </c>
      <c r="E68" s="155">
        <v>0.0</v>
      </c>
      <c r="F68" s="156"/>
      <c r="G68" s="156"/>
      <c r="H68" s="156"/>
      <c r="I68" s="156"/>
      <c r="J68" s="156"/>
      <c r="K68" s="154">
        <f t="shared" si="1"/>
        <v>0</v>
      </c>
    </row>
    <row r="69">
      <c r="A69" s="219">
        <v>65.0</v>
      </c>
      <c r="B69" s="152"/>
      <c r="C69" s="152" t="s">
        <v>46</v>
      </c>
      <c r="D69" s="155">
        <v>0.0</v>
      </c>
      <c r="E69" s="155">
        <v>0.0</v>
      </c>
      <c r="F69" s="156"/>
      <c r="G69" s="156"/>
      <c r="H69" s="156"/>
      <c r="I69" s="156"/>
      <c r="J69" s="156"/>
      <c r="K69" s="154">
        <f t="shared" si="1"/>
        <v>0</v>
      </c>
    </row>
    <row r="70">
      <c r="A70" s="219">
        <v>66.0</v>
      </c>
      <c r="B70" s="152"/>
      <c r="C70" s="152" t="s">
        <v>46</v>
      </c>
      <c r="D70" s="155">
        <v>0.0</v>
      </c>
      <c r="E70" s="155">
        <v>0.0</v>
      </c>
      <c r="F70" s="156"/>
      <c r="G70" s="156"/>
      <c r="H70" s="156"/>
      <c r="I70" s="156"/>
      <c r="J70" s="156"/>
      <c r="K70" s="154">
        <f t="shared" si="1"/>
        <v>0</v>
      </c>
    </row>
    <row r="71">
      <c r="A71" s="219">
        <v>67.0</v>
      </c>
      <c r="B71" s="152"/>
      <c r="C71" s="152" t="s">
        <v>46</v>
      </c>
      <c r="D71" s="155">
        <v>0.0</v>
      </c>
      <c r="E71" s="155">
        <v>0.0</v>
      </c>
      <c r="F71" s="156"/>
      <c r="G71" s="156"/>
      <c r="H71" s="156"/>
      <c r="I71" s="156"/>
      <c r="J71" s="156"/>
      <c r="K71" s="154">
        <f t="shared" si="1"/>
        <v>0</v>
      </c>
    </row>
    <row r="72">
      <c r="A72" s="219">
        <v>68.0</v>
      </c>
      <c r="B72" s="152"/>
      <c r="C72" s="152" t="s">
        <v>46</v>
      </c>
      <c r="D72" s="155">
        <v>0.0</v>
      </c>
      <c r="E72" s="155">
        <v>0.0</v>
      </c>
      <c r="F72" s="156"/>
      <c r="G72" s="156"/>
      <c r="H72" s="156"/>
      <c r="I72" s="156"/>
      <c r="J72" s="156"/>
      <c r="K72" s="154">
        <f t="shared" si="1"/>
        <v>0</v>
      </c>
    </row>
    <row r="73">
      <c r="A73" s="219">
        <v>69.0</v>
      </c>
      <c r="B73" s="152"/>
      <c r="C73" s="152" t="s">
        <v>46</v>
      </c>
      <c r="D73" s="155">
        <v>0.0</v>
      </c>
      <c r="E73" s="155">
        <v>0.0</v>
      </c>
      <c r="F73" s="156"/>
      <c r="G73" s="156"/>
      <c r="H73" s="156"/>
      <c r="I73" s="156"/>
      <c r="J73" s="156"/>
      <c r="K73" s="154">
        <f t="shared" si="1"/>
        <v>0</v>
      </c>
    </row>
    <row r="74">
      <c r="A74" s="219">
        <v>70.0</v>
      </c>
      <c r="B74" s="152"/>
      <c r="C74" s="152" t="s">
        <v>46</v>
      </c>
      <c r="D74" s="155">
        <v>0.0</v>
      </c>
      <c r="E74" s="155">
        <v>0.0</v>
      </c>
      <c r="F74" s="156"/>
      <c r="G74" s="156"/>
      <c r="H74" s="156"/>
      <c r="I74" s="156"/>
      <c r="J74" s="156"/>
      <c r="K74" s="154">
        <f t="shared" si="1"/>
        <v>0</v>
      </c>
    </row>
    <row r="75">
      <c r="A75" s="219">
        <v>71.0</v>
      </c>
      <c r="B75" s="152"/>
      <c r="C75" s="152" t="s">
        <v>46</v>
      </c>
      <c r="D75" s="155">
        <v>0.0</v>
      </c>
      <c r="E75" s="155">
        <v>0.0</v>
      </c>
      <c r="F75" s="156"/>
      <c r="G75" s="156"/>
      <c r="H75" s="156"/>
      <c r="I75" s="156"/>
      <c r="J75" s="156"/>
      <c r="K75" s="154">
        <f t="shared" si="1"/>
        <v>0</v>
      </c>
    </row>
    <row r="76">
      <c r="A76" s="219">
        <v>72.0</v>
      </c>
      <c r="B76" s="152"/>
      <c r="C76" s="152" t="s">
        <v>46</v>
      </c>
      <c r="D76" s="155">
        <v>0.0</v>
      </c>
      <c r="E76" s="155">
        <v>0.0</v>
      </c>
      <c r="F76" s="156"/>
      <c r="G76" s="156"/>
      <c r="H76" s="156"/>
      <c r="I76" s="156"/>
      <c r="J76" s="156"/>
      <c r="K76" s="154">
        <f t="shared" si="1"/>
        <v>0</v>
      </c>
    </row>
    <row r="77">
      <c r="A77" s="219">
        <v>73.0</v>
      </c>
      <c r="B77" s="152"/>
      <c r="C77" s="152" t="s">
        <v>46</v>
      </c>
      <c r="D77" s="155">
        <v>0.0</v>
      </c>
      <c r="E77" s="155">
        <v>0.0</v>
      </c>
      <c r="F77" s="156"/>
      <c r="G77" s="156"/>
      <c r="H77" s="156"/>
      <c r="I77" s="156"/>
      <c r="J77" s="156"/>
      <c r="K77" s="154">
        <f t="shared" si="1"/>
        <v>0</v>
      </c>
    </row>
    <row r="78">
      <c r="A78" s="219">
        <v>74.0</v>
      </c>
      <c r="B78" s="152"/>
      <c r="C78" s="152" t="s">
        <v>46</v>
      </c>
      <c r="D78" s="155">
        <v>0.0</v>
      </c>
      <c r="E78" s="155">
        <v>0.0</v>
      </c>
      <c r="F78" s="156"/>
      <c r="G78" s="156"/>
      <c r="H78" s="156"/>
      <c r="I78" s="156"/>
      <c r="J78" s="156"/>
      <c r="K78" s="154">
        <f t="shared" si="1"/>
        <v>0</v>
      </c>
    </row>
    <row r="79">
      <c r="A79" s="219">
        <v>75.0</v>
      </c>
      <c r="B79" s="152"/>
      <c r="C79" s="152" t="s">
        <v>46</v>
      </c>
      <c r="D79" s="155">
        <v>0.0</v>
      </c>
      <c r="E79" s="155">
        <v>0.0</v>
      </c>
      <c r="F79" s="156"/>
      <c r="G79" s="156"/>
      <c r="H79" s="156"/>
      <c r="I79" s="156"/>
      <c r="J79" s="156"/>
      <c r="K79" s="154">
        <f t="shared" si="1"/>
        <v>0</v>
      </c>
    </row>
    <row r="80">
      <c r="A80" s="219">
        <v>76.0</v>
      </c>
      <c r="B80" s="152"/>
      <c r="C80" s="152" t="s">
        <v>46</v>
      </c>
      <c r="D80" s="155">
        <v>0.0</v>
      </c>
      <c r="E80" s="155">
        <v>0.0</v>
      </c>
      <c r="F80" s="156"/>
      <c r="G80" s="156"/>
      <c r="H80" s="156"/>
      <c r="I80" s="156"/>
      <c r="J80" s="156"/>
      <c r="K80" s="154">
        <f t="shared" si="1"/>
        <v>0</v>
      </c>
    </row>
    <row r="81">
      <c r="A81" s="219">
        <v>77.0</v>
      </c>
      <c r="B81" s="152"/>
      <c r="C81" s="152" t="s">
        <v>46</v>
      </c>
      <c r="D81" s="155">
        <v>0.0</v>
      </c>
      <c r="E81" s="155">
        <v>0.0</v>
      </c>
      <c r="F81" s="156"/>
      <c r="G81" s="156"/>
      <c r="H81" s="156"/>
      <c r="I81" s="156"/>
      <c r="J81" s="156"/>
      <c r="K81" s="154">
        <f t="shared" si="1"/>
        <v>0</v>
      </c>
    </row>
  </sheetData>
  <mergeCells count="12">
    <mergeCell ref="G3:G4"/>
    <mergeCell ref="H3:H4"/>
    <mergeCell ref="I3:I4"/>
    <mergeCell ref="J3:J4"/>
    <mergeCell ref="A1:K2"/>
    <mergeCell ref="A3:A4"/>
    <mergeCell ref="B3:B4"/>
    <mergeCell ref="C3:C4"/>
    <mergeCell ref="D3:D4"/>
    <mergeCell ref="E3:E4"/>
    <mergeCell ref="F3:F4"/>
    <mergeCell ref="K3:K4"/>
  </mergeCells>
  <conditionalFormatting sqref="J5:J81">
    <cfRule type="containsText" dxfId="7" priority="1" operator="containsText" text="oui">
      <formula>NOT(ISERROR(SEARCH(("oui"),(J5))))</formula>
    </cfRule>
  </conditionalFormatting>
  <conditionalFormatting sqref="J5:J81">
    <cfRule type="containsText" dxfId="6" priority="2" operator="containsText" text="non">
      <formula>NOT(ISERROR(SEARCH(("non"),(J5))))</formula>
    </cfRule>
  </conditionalFormatting>
  <conditionalFormatting sqref="G5:I81">
    <cfRule type="cellIs" dxfId="7" priority="3" operator="between">
      <formula>82</formula>
      <formula>82.3</formula>
    </cfRule>
  </conditionalFormatting>
  <conditionalFormatting sqref="G5:I81">
    <cfRule type="notContainsBlanks" dxfId="3" priority="4">
      <formula>LEN(TRIM(G5))&gt;0</formula>
    </cfRule>
  </conditionalFormatting>
  <conditionalFormatting sqref="F5:F81">
    <cfRule type="cellIs" dxfId="6" priority="5" operator="notBetween">
      <formula>83.5</formula>
      <formula>84.5</formula>
    </cfRule>
  </conditionalFormatting>
  <conditionalFormatting sqref="F5:F81">
    <cfRule type="cellIs" dxfId="11" priority="6" operator="between">
      <formula>83.5</formula>
      <formula>84.5</formula>
    </cfRule>
  </conditionalFormatting>
  <dataValidations>
    <dataValidation type="list" allowBlank="1" showErrorMessage="1" sqref="B5:B81">
      <formula1>"07/04/2026,08/04/2026,09/04/2026,10/04/2026"</formula1>
    </dataValidation>
    <dataValidation type="list" allowBlank="1" showErrorMessage="1" sqref="J5:J81">
      <formula1>"OUI,NON"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1.0"/>
    <col customWidth="1" min="7" max="7" width="14.38"/>
    <col customWidth="1" min="8" max="8" width="12.25"/>
    <col customWidth="1" min="9" max="9" width="13.0"/>
    <col customWidth="1" min="10" max="10" width="14.88"/>
    <col customWidth="1" min="12" max="12" width="31.5"/>
    <col customWidth="1" min="13" max="13" width="19.38"/>
    <col customWidth="1" min="14" max="14" width="18.63"/>
  </cols>
  <sheetData>
    <row r="1">
      <c r="A1" s="158" t="s">
        <v>189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190</v>
      </c>
      <c r="H3" s="162" t="s">
        <v>191</v>
      </c>
      <c r="I3" s="162" t="s">
        <v>192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220">
        <v>46119.0</v>
      </c>
      <c r="C5" s="172"/>
      <c r="D5" s="191">
        <v>0.6666666666666666</v>
      </c>
      <c r="E5" s="167">
        <v>0.7222222222222222</v>
      </c>
      <c r="F5" s="166" t="s">
        <v>128</v>
      </c>
      <c r="G5" s="166">
        <v>35.021</v>
      </c>
      <c r="H5" s="166">
        <v>13.9</v>
      </c>
      <c r="I5" s="166">
        <v>40.0</v>
      </c>
      <c r="J5" s="169">
        <f t="shared" ref="J5:J81" si="1">E5-D5</f>
        <v>0.05555555556</v>
      </c>
    </row>
    <row r="6">
      <c r="A6" s="164">
        <v>2.0</v>
      </c>
      <c r="B6" s="221"/>
      <c r="C6" s="172"/>
      <c r="D6" s="171">
        <v>0.0</v>
      </c>
      <c r="E6" s="171">
        <v>0.0</v>
      </c>
      <c r="F6" s="172"/>
      <c r="G6" s="172"/>
      <c r="H6" s="172"/>
      <c r="I6" s="172"/>
      <c r="J6" s="169">
        <f t="shared" si="1"/>
        <v>0</v>
      </c>
    </row>
    <row r="7">
      <c r="A7" s="164">
        <v>3.0</v>
      </c>
      <c r="B7" s="221"/>
      <c r="C7" s="172"/>
      <c r="D7" s="171">
        <v>0.0</v>
      </c>
      <c r="E7" s="171">
        <v>0.0</v>
      </c>
      <c r="F7" s="172"/>
      <c r="G7" s="172"/>
      <c r="H7" s="172"/>
      <c r="I7" s="172"/>
      <c r="J7" s="169">
        <f t="shared" si="1"/>
        <v>0</v>
      </c>
    </row>
    <row r="8">
      <c r="A8" s="164">
        <v>4.0</v>
      </c>
      <c r="B8" s="221"/>
      <c r="C8" s="172"/>
      <c r="D8" s="171">
        <v>0.0</v>
      </c>
      <c r="E8" s="171">
        <v>0.0</v>
      </c>
      <c r="F8" s="172"/>
      <c r="G8" s="172"/>
      <c r="H8" s="172"/>
      <c r="I8" s="172"/>
      <c r="J8" s="169">
        <f t="shared" si="1"/>
        <v>0</v>
      </c>
    </row>
    <row r="9">
      <c r="A9" s="164">
        <v>5.0</v>
      </c>
      <c r="B9" s="221"/>
      <c r="C9" s="172"/>
      <c r="D9" s="171">
        <v>0.0</v>
      </c>
      <c r="E9" s="171">
        <v>0.0</v>
      </c>
      <c r="F9" s="172"/>
      <c r="G9" s="172"/>
      <c r="H9" s="172"/>
      <c r="I9" s="172"/>
      <c r="J9" s="169">
        <f t="shared" si="1"/>
        <v>0</v>
      </c>
    </row>
    <row r="10">
      <c r="A10" s="164">
        <v>6.0</v>
      </c>
      <c r="B10" s="221"/>
      <c r="C10" s="172"/>
      <c r="D10" s="171">
        <v>0.0</v>
      </c>
      <c r="E10" s="171">
        <v>0.0</v>
      </c>
      <c r="F10" s="172"/>
      <c r="G10" s="172"/>
      <c r="H10" s="168"/>
      <c r="I10" s="172"/>
      <c r="J10" s="169">
        <f t="shared" si="1"/>
        <v>0</v>
      </c>
    </row>
    <row r="11">
      <c r="A11" s="164">
        <v>7.0</v>
      </c>
      <c r="B11" s="221"/>
      <c r="C11" s="172"/>
      <c r="D11" s="171">
        <v>0.0</v>
      </c>
      <c r="E11" s="171">
        <v>0.0</v>
      </c>
      <c r="F11" s="172"/>
      <c r="G11" s="172"/>
      <c r="H11" s="168"/>
      <c r="I11" s="172"/>
      <c r="J11" s="169">
        <f t="shared" si="1"/>
        <v>0</v>
      </c>
    </row>
    <row r="12">
      <c r="A12" s="164">
        <v>8.0</v>
      </c>
      <c r="B12" s="221"/>
      <c r="C12" s="172"/>
      <c r="D12" s="171">
        <v>0.0</v>
      </c>
      <c r="E12" s="171">
        <v>0.0</v>
      </c>
      <c r="F12" s="172"/>
      <c r="G12" s="172"/>
      <c r="H12" s="168"/>
      <c r="I12" s="172"/>
      <c r="J12" s="169">
        <f t="shared" si="1"/>
        <v>0</v>
      </c>
      <c r="O12" s="176"/>
    </row>
    <row r="13">
      <c r="A13" s="164">
        <v>9.0</v>
      </c>
      <c r="B13" s="221"/>
      <c r="C13" s="172"/>
      <c r="D13" s="171">
        <v>0.0</v>
      </c>
      <c r="E13" s="171">
        <v>0.0</v>
      </c>
      <c r="F13" s="172"/>
      <c r="G13" s="172"/>
      <c r="H13" s="168"/>
      <c r="I13" s="172"/>
      <c r="J13" s="169">
        <f t="shared" si="1"/>
        <v>0</v>
      </c>
      <c r="O13" s="176"/>
    </row>
    <row r="14">
      <c r="A14" s="164">
        <v>10.0</v>
      </c>
      <c r="B14" s="221"/>
      <c r="C14" s="172"/>
      <c r="D14" s="171">
        <v>0.0</v>
      </c>
      <c r="E14" s="171">
        <v>0.0</v>
      </c>
      <c r="F14" s="172"/>
      <c r="G14" s="172"/>
      <c r="H14" s="168"/>
      <c r="I14" s="172"/>
      <c r="J14" s="169">
        <f t="shared" si="1"/>
        <v>0</v>
      </c>
      <c r="O14" s="176"/>
    </row>
    <row r="15">
      <c r="A15" s="164">
        <v>11.0</v>
      </c>
      <c r="B15" s="221"/>
      <c r="C15" s="172"/>
      <c r="D15" s="171">
        <v>0.0</v>
      </c>
      <c r="E15" s="171">
        <v>0.0</v>
      </c>
      <c r="F15" s="172"/>
      <c r="G15" s="172"/>
      <c r="H15" s="168"/>
      <c r="I15" s="172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221"/>
      <c r="C16" s="172"/>
      <c r="D16" s="171">
        <v>0.0</v>
      </c>
      <c r="E16" s="171">
        <v>0.0</v>
      </c>
      <c r="F16" s="172"/>
      <c r="G16" s="172"/>
      <c r="H16" s="168"/>
      <c r="I16" s="172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221"/>
      <c r="C17" s="172"/>
      <c r="D17" s="171">
        <v>0.0</v>
      </c>
      <c r="E17" s="171">
        <v>0.0</v>
      </c>
      <c r="F17" s="172"/>
      <c r="G17" s="172"/>
      <c r="H17" s="168"/>
      <c r="I17" s="172"/>
      <c r="J17" s="169">
        <f t="shared" si="1"/>
        <v>0</v>
      </c>
      <c r="L17" s="177">
        <f>COUNTA(F5:F92)</f>
        <v>1</v>
      </c>
      <c r="M17" s="177">
        <f>COUNTIF(F5:F93,"non")</f>
        <v>0</v>
      </c>
      <c r="N17" s="177">
        <f>COUNTIF(F5:F92,"oui")</f>
        <v>1</v>
      </c>
      <c r="O17" s="177">
        <f>(L17-M17)/L17</f>
        <v>1</v>
      </c>
      <c r="P17" s="139">
        <f>AVERAGEIF(J$5:J$200,"&lt;&gt;0")</f>
        <v>0.05555555556</v>
      </c>
    </row>
    <row r="18">
      <c r="A18" s="164">
        <v>14.0</v>
      </c>
      <c r="B18" s="221"/>
      <c r="C18" s="172"/>
      <c r="D18" s="171">
        <v>0.0</v>
      </c>
      <c r="E18" s="171">
        <v>0.0</v>
      </c>
      <c r="F18" s="172"/>
      <c r="G18" s="172"/>
      <c r="H18" s="168"/>
      <c r="I18" s="172"/>
      <c r="J18" s="169">
        <f t="shared" si="1"/>
        <v>0</v>
      </c>
    </row>
    <row r="19">
      <c r="A19" s="164">
        <v>15.0</v>
      </c>
      <c r="B19" s="221"/>
      <c r="C19" s="172"/>
      <c r="D19" s="171">
        <v>0.0</v>
      </c>
      <c r="E19" s="171">
        <v>0.0</v>
      </c>
      <c r="F19" s="172"/>
      <c r="G19" s="172"/>
      <c r="H19" s="168"/>
      <c r="I19" s="172"/>
      <c r="J19" s="169">
        <f t="shared" si="1"/>
        <v>0</v>
      </c>
    </row>
    <row r="20">
      <c r="A20" s="164">
        <v>16.0</v>
      </c>
      <c r="B20" s="221"/>
      <c r="C20" s="172"/>
      <c r="D20" s="171">
        <v>0.0</v>
      </c>
      <c r="E20" s="171">
        <v>0.0</v>
      </c>
      <c r="F20" s="172"/>
      <c r="G20" s="172"/>
      <c r="H20" s="168"/>
      <c r="I20" s="172"/>
      <c r="J20" s="169">
        <f t="shared" si="1"/>
        <v>0</v>
      </c>
    </row>
    <row r="21">
      <c r="A21" s="164">
        <v>17.0</v>
      </c>
      <c r="B21" s="221"/>
      <c r="C21" s="172"/>
      <c r="D21" s="171">
        <v>0.0</v>
      </c>
      <c r="E21" s="171">
        <v>0.0</v>
      </c>
      <c r="F21" s="172"/>
      <c r="G21" s="172"/>
      <c r="H21" s="168"/>
      <c r="I21" s="172"/>
      <c r="J21" s="169">
        <f t="shared" si="1"/>
        <v>0</v>
      </c>
    </row>
    <row r="22">
      <c r="A22" s="164">
        <v>18.0</v>
      </c>
      <c r="B22" s="221"/>
      <c r="C22" s="172"/>
      <c r="D22" s="171">
        <v>0.0</v>
      </c>
      <c r="E22" s="171">
        <v>0.0</v>
      </c>
      <c r="F22" s="172"/>
      <c r="G22" s="172"/>
      <c r="H22" s="168"/>
      <c r="I22" s="172"/>
      <c r="J22" s="169">
        <f t="shared" si="1"/>
        <v>0</v>
      </c>
    </row>
    <row r="23">
      <c r="A23" s="164">
        <v>19.0</v>
      </c>
      <c r="B23" s="221"/>
      <c r="C23" s="172"/>
      <c r="D23" s="171">
        <v>0.0</v>
      </c>
      <c r="E23" s="171">
        <v>0.0</v>
      </c>
      <c r="F23" s="172"/>
      <c r="G23" s="172"/>
      <c r="H23" s="168"/>
      <c r="I23" s="172"/>
      <c r="J23" s="169">
        <f t="shared" si="1"/>
        <v>0</v>
      </c>
    </row>
    <row r="24">
      <c r="A24" s="164">
        <v>20.0</v>
      </c>
      <c r="B24" s="221"/>
      <c r="C24" s="172"/>
      <c r="D24" s="171">
        <v>0.0</v>
      </c>
      <c r="E24" s="171">
        <v>0.0</v>
      </c>
      <c r="F24" s="172"/>
      <c r="G24" s="172"/>
      <c r="H24" s="168"/>
      <c r="I24" s="172"/>
      <c r="J24" s="169">
        <f t="shared" si="1"/>
        <v>0</v>
      </c>
    </row>
    <row r="25">
      <c r="A25" s="164">
        <v>21.0</v>
      </c>
      <c r="B25" s="221"/>
      <c r="C25" s="172"/>
      <c r="D25" s="171">
        <v>0.0</v>
      </c>
      <c r="E25" s="171">
        <v>0.0</v>
      </c>
      <c r="F25" s="172"/>
      <c r="G25" s="172"/>
      <c r="H25" s="168"/>
      <c r="I25" s="172"/>
      <c r="J25" s="169">
        <f t="shared" si="1"/>
        <v>0</v>
      </c>
    </row>
    <row r="26">
      <c r="A26" s="164">
        <v>22.0</v>
      </c>
      <c r="B26" s="221"/>
      <c r="C26" s="172"/>
      <c r="D26" s="171">
        <v>0.0</v>
      </c>
      <c r="E26" s="171">
        <v>0.0</v>
      </c>
      <c r="F26" s="172"/>
      <c r="G26" s="172"/>
      <c r="H26" s="168"/>
      <c r="I26" s="172"/>
      <c r="J26" s="169">
        <f t="shared" si="1"/>
        <v>0</v>
      </c>
    </row>
    <row r="27">
      <c r="A27" s="164">
        <v>23.0</v>
      </c>
      <c r="B27" s="221"/>
      <c r="C27" s="172"/>
      <c r="D27" s="171">
        <v>0.0</v>
      </c>
      <c r="E27" s="171">
        <v>0.0</v>
      </c>
      <c r="F27" s="172"/>
      <c r="G27" s="172"/>
      <c r="H27" s="168"/>
      <c r="I27" s="172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5.88"/>
    <col customWidth="1" min="7" max="7" width="14.13"/>
    <col customWidth="1" min="8" max="8" width="11.38"/>
    <col customWidth="1" min="9" max="9" width="14.88"/>
    <col customWidth="1" min="10" max="10" width="19.0"/>
    <col customWidth="1" min="11" max="11" width="19.88"/>
    <col customWidth="1" min="12" max="12" width="31.38"/>
    <col customWidth="1" min="13" max="13" width="18.5"/>
    <col customWidth="1" min="14" max="14" width="17.25"/>
  </cols>
  <sheetData>
    <row r="1">
      <c r="A1" s="158" t="s">
        <v>193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217" t="s">
        <v>124</v>
      </c>
      <c r="I3" s="213" t="s">
        <v>125</v>
      </c>
      <c r="J3" s="163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222" t="s">
        <v>138</v>
      </c>
      <c r="M4" s="176"/>
    </row>
    <row r="5">
      <c r="A5" s="164">
        <v>1.0</v>
      </c>
      <c r="B5" s="168"/>
      <c r="C5" s="168"/>
      <c r="D5" s="171">
        <v>0.0</v>
      </c>
      <c r="E5" s="171">
        <v>0.0</v>
      </c>
      <c r="F5" s="172"/>
      <c r="G5" s="168"/>
      <c r="H5" s="168"/>
      <c r="I5" s="168"/>
      <c r="J5" s="169">
        <f t="shared" ref="J5:J81" si="1">E5-D5</f>
        <v>0</v>
      </c>
      <c r="L5" s="223">
        <f>COUNTIF(F5:F200,"OUI")</f>
        <v>0</v>
      </c>
      <c r="M5" s="224" t="s">
        <v>194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  <c r="L6" s="176"/>
      <c r="M6" s="176"/>
    </row>
    <row r="7">
      <c r="A7" s="164">
        <v>3.0</v>
      </c>
      <c r="B7" s="168"/>
      <c r="C7" s="168"/>
      <c r="D7" s="171">
        <v>0.0</v>
      </c>
      <c r="E7" s="171">
        <v>0.0</v>
      </c>
      <c r="F7" s="172"/>
      <c r="G7" s="168"/>
      <c r="H7" s="168"/>
      <c r="I7" s="168"/>
      <c r="J7" s="169">
        <f t="shared" si="1"/>
        <v>0</v>
      </c>
      <c r="L7" s="222" t="s">
        <v>139</v>
      </c>
      <c r="M7" s="176"/>
    </row>
    <row r="8">
      <c r="A8" s="164">
        <v>4.0</v>
      </c>
      <c r="B8" s="168"/>
      <c r="C8" s="168"/>
      <c r="D8" s="171">
        <v>0.0</v>
      </c>
      <c r="E8" s="171">
        <v>0.0</v>
      </c>
      <c r="F8" s="172"/>
      <c r="G8" s="168"/>
      <c r="H8" s="168"/>
      <c r="I8" s="168"/>
      <c r="J8" s="169">
        <f t="shared" si="1"/>
        <v>0</v>
      </c>
      <c r="L8" s="225">
        <f>COUNTIF(F5:F200,"NON")+L5</f>
        <v>0</v>
      </c>
      <c r="M8" s="176"/>
    </row>
    <row r="9">
      <c r="A9" s="164">
        <v>5.0</v>
      </c>
      <c r="B9" s="168"/>
      <c r="C9" s="168"/>
      <c r="D9" s="171">
        <v>0.0</v>
      </c>
      <c r="E9" s="171">
        <v>0.0</v>
      </c>
      <c r="F9" s="172"/>
      <c r="G9" s="168"/>
      <c r="H9" s="168"/>
      <c r="I9" s="168"/>
      <c r="J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72"/>
      <c r="G10" s="168"/>
      <c r="H10" s="168"/>
      <c r="I10" s="168"/>
      <c r="J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72"/>
      <c r="G11" s="168"/>
      <c r="H11" s="168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72"/>
      <c r="G12" s="168"/>
      <c r="H12" s="168"/>
      <c r="I12" s="168"/>
      <c r="J12" s="169">
        <f t="shared" si="1"/>
        <v>0</v>
      </c>
    </row>
    <row r="13">
      <c r="A13" s="164">
        <v>9.0</v>
      </c>
      <c r="B13" s="168"/>
      <c r="C13" s="168"/>
      <c r="D13" s="171">
        <v>0.0</v>
      </c>
      <c r="E13" s="171">
        <v>0.0</v>
      </c>
      <c r="F13" s="172"/>
      <c r="G13" s="168"/>
      <c r="H13" s="168"/>
      <c r="I13" s="168"/>
      <c r="J13" s="169">
        <f t="shared" si="1"/>
        <v>0</v>
      </c>
      <c r="K13" s="176"/>
      <c r="L13" s="176"/>
    </row>
    <row r="14">
      <c r="A14" s="164">
        <v>10.0</v>
      </c>
      <c r="B14" s="168"/>
      <c r="C14" s="168"/>
      <c r="D14" s="171">
        <v>0.0</v>
      </c>
      <c r="E14" s="171">
        <v>0.0</v>
      </c>
      <c r="F14" s="172"/>
      <c r="G14" s="168"/>
      <c r="H14" s="168"/>
      <c r="I14" s="168"/>
      <c r="J14" s="169">
        <f t="shared" si="1"/>
        <v>0</v>
      </c>
      <c r="K14" s="176"/>
      <c r="L14" s="176"/>
    </row>
    <row r="15">
      <c r="A15" s="164">
        <v>11.0</v>
      </c>
      <c r="B15" s="168"/>
      <c r="C15" s="168"/>
      <c r="D15" s="171">
        <v>0.0</v>
      </c>
      <c r="E15" s="171">
        <v>0.0</v>
      </c>
      <c r="F15" s="172"/>
      <c r="G15" s="168"/>
      <c r="H15" s="168"/>
      <c r="I15" s="168"/>
      <c r="J15" s="169">
        <f t="shared" si="1"/>
        <v>0</v>
      </c>
      <c r="L15" s="73" t="s">
        <v>129</v>
      </c>
      <c r="M15" s="73" t="s">
        <v>130</v>
      </c>
      <c r="N15" s="73" t="s">
        <v>131</v>
      </c>
      <c r="O15" s="73" t="s">
        <v>132</v>
      </c>
      <c r="P15" s="73" t="s">
        <v>133</v>
      </c>
    </row>
    <row r="16">
      <c r="A16" s="164">
        <v>12.0</v>
      </c>
      <c r="B16" s="168"/>
      <c r="C16" s="168"/>
      <c r="D16" s="171">
        <v>0.0</v>
      </c>
      <c r="E16" s="171">
        <v>0.0</v>
      </c>
      <c r="F16" s="172"/>
      <c r="G16" s="168"/>
      <c r="H16" s="168"/>
      <c r="I16" s="168"/>
      <c r="J16" s="169">
        <f t="shared" si="1"/>
        <v>0</v>
      </c>
      <c r="L16" s="177">
        <f>COUNTA(F5:F92)</f>
        <v>0</v>
      </c>
      <c r="M16" s="177">
        <f>COUNTIF(F5:F93,"non")</f>
        <v>0</v>
      </c>
      <c r="N16" s="177">
        <f>COUNTIF(F5:F92,"oui")</f>
        <v>0</v>
      </c>
      <c r="O16" s="177" t="str">
        <f>(L16-M16)/L16</f>
        <v>#DIV/0!</v>
      </c>
      <c r="P16" s="139" t="str">
        <f>AVERAGEIF(J$5:J$200,"&lt;&gt;0")</f>
        <v>#DIV/0!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72"/>
      <c r="G17" s="168"/>
      <c r="H17" s="168"/>
      <c r="I17" s="168"/>
      <c r="J17" s="169">
        <f t="shared" si="1"/>
        <v>0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72"/>
      <c r="G18" s="168"/>
      <c r="H18" s="168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72"/>
      <c r="G19" s="168"/>
      <c r="H19" s="168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72"/>
      <c r="G20" s="168"/>
      <c r="H20" s="168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72"/>
      <c r="G21" s="168"/>
      <c r="H21" s="168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72"/>
      <c r="G22" s="168"/>
      <c r="H22" s="168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72"/>
      <c r="G23" s="168"/>
      <c r="H23" s="168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72"/>
      <c r="G24" s="168"/>
      <c r="H24" s="168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72"/>
      <c r="G25" s="168"/>
      <c r="H25" s="168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72"/>
      <c r="G26" s="168"/>
      <c r="H26" s="168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68"/>
      <c r="G27" s="168"/>
      <c r="H27" s="168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38"/>
    <col customWidth="1" min="4" max="4" width="19.88"/>
    <col customWidth="1" min="5" max="5" width="20.25"/>
    <col customWidth="1" min="10" max="10" width="14.25"/>
    <col customWidth="1" min="12" max="12" width="32.13"/>
    <col customWidth="1" min="13" max="13" width="19.13"/>
    <col customWidth="1" min="14" max="14" width="18.25"/>
  </cols>
  <sheetData>
    <row r="1">
      <c r="A1" s="158" t="s">
        <v>195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221"/>
      <c r="C5" s="83" t="s">
        <v>58</v>
      </c>
      <c r="D5" s="167">
        <v>0.6090277777777777</v>
      </c>
      <c r="E5" s="167">
        <v>0.6180555555555556</v>
      </c>
      <c r="F5" s="166" t="s">
        <v>128</v>
      </c>
      <c r="G5" s="172"/>
      <c r="H5" s="172"/>
      <c r="I5" s="172"/>
      <c r="J5" s="226">
        <v>0.009675925925925926</v>
      </c>
    </row>
    <row r="6">
      <c r="A6" s="164">
        <v>2.0</v>
      </c>
      <c r="B6" s="221"/>
      <c r="C6" s="166" t="s">
        <v>196</v>
      </c>
      <c r="D6" s="167">
        <v>0.6090277777777777</v>
      </c>
      <c r="E6" s="167">
        <v>0.6180555555555556</v>
      </c>
      <c r="F6" s="166" t="s">
        <v>128</v>
      </c>
      <c r="G6" s="172"/>
      <c r="H6" s="172"/>
      <c r="I6" s="172"/>
      <c r="J6" s="226">
        <v>0.009675925925925926</v>
      </c>
    </row>
    <row r="7">
      <c r="A7" s="164">
        <v>3.0</v>
      </c>
      <c r="B7" s="221"/>
      <c r="C7" s="83" t="s">
        <v>196</v>
      </c>
      <c r="D7" s="167">
        <v>0.6090277777777777</v>
      </c>
      <c r="E7" s="167">
        <v>0.6180555555555556</v>
      </c>
      <c r="F7" s="166" t="s">
        <v>128</v>
      </c>
      <c r="G7" s="172"/>
      <c r="H7" s="172"/>
      <c r="I7" s="172"/>
      <c r="J7" s="226">
        <v>0.009675925925925926</v>
      </c>
    </row>
    <row r="8">
      <c r="A8" s="164">
        <v>4.0</v>
      </c>
      <c r="B8" s="221"/>
      <c r="C8" s="166" t="s">
        <v>58</v>
      </c>
      <c r="D8" s="167">
        <v>0.6090277777777777</v>
      </c>
      <c r="E8" s="167">
        <v>0.6180555555555556</v>
      </c>
      <c r="F8" s="166" t="s">
        <v>128</v>
      </c>
      <c r="G8" s="172"/>
      <c r="H8" s="172"/>
      <c r="I8" s="172"/>
      <c r="J8" s="226">
        <v>0.009675925925925926</v>
      </c>
    </row>
    <row r="9">
      <c r="A9" s="164">
        <v>5.0</v>
      </c>
      <c r="B9" s="221"/>
      <c r="C9" s="166" t="s">
        <v>58</v>
      </c>
      <c r="D9" s="167">
        <v>0.6090277777777777</v>
      </c>
      <c r="E9" s="167">
        <v>0.6180555555555556</v>
      </c>
      <c r="F9" s="166" t="s">
        <v>128</v>
      </c>
      <c r="G9" s="172"/>
      <c r="H9" s="172"/>
      <c r="I9" s="172"/>
      <c r="J9" s="226">
        <v>0.009027777777777777</v>
      </c>
    </row>
    <row r="10">
      <c r="A10" s="164">
        <v>6.0</v>
      </c>
      <c r="B10" s="221"/>
      <c r="C10" s="166" t="s">
        <v>58</v>
      </c>
      <c r="D10" s="167">
        <v>0.6361111111111111</v>
      </c>
      <c r="E10" s="167">
        <v>0.6408333333333334</v>
      </c>
      <c r="F10" s="166" t="s">
        <v>128</v>
      </c>
      <c r="G10" s="172"/>
      <c r="H10" s="168"/>
      <c r="I10" s="172"/>
      <c r="J10" s="169">
        <f t="shared" ref="J10:J105" si="1">E10-D10</f>
        <v>0.004722222222</v>
      </c>
    </row>
    <row r="11">
      <c r="A11" s="164">
        <v>7.0</v>
      </c>
      <c r="B11" s="221"/>
      <c r="C11" s="166" t="s">
        <v>58</v>
      </c>
      <c r="D11" s="167">
        <v>0.6361111111111111</v>
      </c>
      <c r="E11" s="167">
        <v>0.6408333333333334</v>
      </c>
      <c r="F11" s="166" t="s">
        <v>128</v>
      </c>
      <c r="G11" s="172"/>
      <c r="H11" s="168"/>
      <c r="I11" s="172"/>
      <c r="J11" s="169">
        <f t="shared" si="1"/>
        <v>0.004722222222</v>
      </c>
    </row>
    <row r="12">
      <c r="A12" s="164">
        <v>8.0</v>
      </c>
      <c r="B12" s="221"/>
      <c r="C12" s="172"/>
      <c r="D12" s="167">
        <v>0.6361111111111111</v>
      </c>
      <c r="E12" s="167">
        <v>0.6408333333333334</v>
      </c>
      <c r="F12" s="166" t="s">
        <v>128</v>
      </c>
      <c r="G12" s="172"/>
      <c r="H12" s="168"/>
      <c r="I12" s="172"/>
      <c r="J12" s="169">
        <f t="shared" si="1"/>
        <v>0.004722222222</v>
      </c>
      <c r="O12" s="176"/>
    </row>
    <row r="13">
      <c r="A13" s="164">
        <v>9.0</v>
      </c>
      <c r="B13" s="221"/>
      <c r="C13" s="172"/>
      <c r="D13" s="167">
        <v>0.6361111111111111</v>
      </c>
      <c r="E13" s="167">
        <v>0.6408333333333334</v>
      </c>
      <c r="F13" s="166" t="s">
        <v>128</v>
      </c>
      <c r="G13" s="172"/>
      <c r="H13" s="168"/>
      <c r="I13" s="172"/>
      <c r="J13" s="169">
        <f t="shared" si="1"/>
        <v>0.004722222222</v>
      </c>
      <c r="O13" s="176"/>
    </row>
    <row r="14">
      <c r="A14" s="164">
        <v>10.0</v>
      </c>
      <c r="B14" s="221"/>
      <c r="C14" s="172"/>
      <c r="D14" s="167">
        <v>0.6361111111111111</v>
      </c>
      <c r="E14" s="167">
        <v>0.6408333333333334</v>
      </c>
      <c r="F14" s="166" t="s">
        <v>128</v>
      </c>
      <c r="G14" s="172"/>
      <c r="H14" s="168"/>
      <c r="I14" s="172"/>
      <c r="J14" s="169">
        <f t="shared" si="1"/>
        <v>0.004722222222</v>
      </c>
      <c r="O14" s="176"/>
    </row>
    <row r="15">
      <c r="A15" s="164">
        <v>11.0</v>
      </c>
      <c r="B15" s="221"/>
      <c r="C15" s="172"/>
      <c r="D15" s="191">
        <v>0.7083333333333334</v>
      </c>
      <c r="E15" s="191">
        <v>0.7108796296296296</v>
      </c>
      <c r="F15" s="166" t="s">
        <v>128</v>
      </c>
      <c r="G15" s="172"/>
      <c r="H15" s="168"/>
      <c r="I15" s="172"/>
      <c r="J15" s="169">
        <f t="shared" si="1"/>
        <v>0.002546296296</v>
      </c>
      <c r="L15" s="176"/>
      <c r="M15" s="176"/>
      <c r="N15" s="176"/>
      <c r="O15" s="176"/>
    </row>
    <row r="16">
      <c r="A16" s="164">
        <v>12.0</v>
      </c>
      <c r="B16" s="221"/>
      <c r="C16" s="172"/>
      <c r="D16" s="191">
        <v>0.7083333333333334</v>
      </c>
      <c r="E16" s="191">
        <v>0.7108796296296296</v>
      </c>
      <c r="F16" s="166" t="s">
        <v>128</v>
      </c>
      <c r="G16" s="172"/>
      <c r="H16" s="168"/>
      <c r="I16" s="172"/>
      <c r="J16" s="169">
        <f t="shared" si="1"/>
        <v>0.002546296296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221"/>
      <c r="C17" s="172"/>
      <c r="D17" s="191">
        <v>0.7083333333333334</v>
      </c>
      <c r="E17" s="191">
        <v>0.7108796296296296</v>
      </c>
      <c r="F17" s="166" t="s">
        <v>128</v>
      </c>
      <c r="G17" s="172"/>
      <c r="H17" s="168"/>
      <c r="I17" s="172"/>
      <c r="J17" s="169">
        <f t="shared" si="1"/>
        <v>0.002546296296</v>
      </c>
      <c r="L17" s="177">
        <f>COUNTA(F5:F104)</f>
        <v>20</v>
      </c>
      <c r="M17" s="177">
        <f>COUNTIF(F5:F104,"non")</f>
        <v>0</v>
      </c>
      <c r="N17" s="177">
        <f>COUNTIF(F5:F104,"oui")</f>
        <v>20</v>
      </c>
      <c r="O17" s="177">
        <f>(L17-M17)/L17</f>
        <v>1</v>
      </c>
      <c r="P17" s="139">
        <f>AVERAGEIF(J$5:J$200,"&lt;&gt;0")</f>
        <v>0.004901041667</v>
      </c>
    </row>
    <row r="18">
      <c r="A18" s="164">
        <v>14.0</v>
      </c>
      <c r="B18" s="221"/>
      <c r="C18" s="172"/>
      <c r="D18" s="191">
        <v>0.7083333333333334</v>
      </c>
      <c r="E18" s="191">
        <v>0.7108796296296296</v>
      </c>
      <c r="F18" s="166" t="s">
        <v>128</v>
      </c>
      <c r="G18" s="172"/>
      <c r="H18" s="168"/>
      <c r="I18" s="172"/>
      <c r="J18" s="169">
        <f t="shared" si="1"/>
        <v>0.002546296296</v>
      </c>
    </row>
    <row r="19">
      <c r="A19" s="164">
        <v>15.0</v>
      </c>
      <c r="B19" s="221"/>
      <c r="C19" s="172"/>
      <c r="D19" s="191">
        <v>0.7083333333333334</v>
      </c>
      <c r="E19" s="191">
        <v>0.7108796296296296</v>
      </c>
      <c r="F19" s="166" t="s">
        <v>128</v>
      </c>
      <c r="G19" s="172"/>
      <c r="H19" s="168"/>
      <c r="I19" s="172"/>
      <c r="J19" s="169">
        <f t="shared" si="1"/>
        <v>0.002546296296</v>
      </c>
    </row>
    <row r="20">
      <c r="A20" s="164">
        <v>16.0</v>
      </c>
      <c r="B20" s="221"/>
      <c r="C20" s="172"/>
      <c r="D20" s="167">
        <v>0.725</v>
      </c>
      <c r="E20" s="167">
        <v>0.7277893518518519</v>
      </c>
      <c r="F20" s="166" t="s">
        <v>128</v>
      </c>
      <c r="G20" s="172"/>
      <c r="H20" s="168"/>
      <c r="I20" s="172"/>
      <c r="J20" s="169">
        <f t="shared" si="1"/>
        <v>0.002789351852</v>
      </c>
    </row>
    <row r="21">
      <c r="A21" s="164">
        <v>17.0</v>
      </c>
      <c r="B21" s="221"/>
      <c r="C21" s="172"/>
      <c r="D21" s="167">
        <v>0.725</v>
      </c>
      <c r="E21" s="167">
        <v>0.7277893518518519</v>
      </c>
      <c r="F21" s="166" t="s">
        <v>128</v>
      </c>
      <c r="G21" s="172"/>
      <c r="H21" s="168"/>
      <c r="I21" s="172"/>
      <c r="J21" s="169">
        <f t="shared" si="1"/>
        <v>0.002789351852</v>
      </c>
    </row>
    <row r="22">
      <c r="A22" s="164">
        <v>18.0</v>
      </c>
      <c r="B22" s="221"/>
      <c r="C22" s="172"/>
      <c r="D22" s="167">
        <v>0.725</v>
      </c>
      <c r="E22" s="167">
        <v>0.7277893518518519</v>
      </c>
      <c r="F22" s="166" t="s">
        <v>128</v>
      </c>
      <c r="G22" s="172"/>
      <c r="H22" s="168"/>
      <c r="I22" s="172"/>
      <c r="J22" s="169">
        <f t="shared" si="1"/>
        <v>0.002789351852</v>
      </c>
    </row>
    <row r="23">
      <c r="A23" s="164">
        <v>19.0</v>
      </c>
      <c r="B23" s="221"/>
      <c r="C23" s="172"/>
      <c r="D23" s="167">
        <v>0.725</v>
      </c>
      <c r="E23" s="167">
        <v>0.7277893518518519</v>
      </c>
      <c r="F23" s="166" t="s">
        <v>128</v>
      </c>
      <c r="G23" s="172"/>
      <c r="H23" s="168"/>
      <c r="I23" s="172"/>
      <c r="J23" s="169">
        <f t="shared" si="1"/>
        <v>0.002789351852</v>
      </c>
    </row>
    <row r="24">
      <c r="A24" s="164">
        <v>20.0</v>
      </c>
      <c r="B24" s="221"/>
      <c r="C24" s="172"/>
      <c r="D24" s="167">
        <v>0.725</v>
      </c>
      <c r="E24" s="167">
        <v>0.7277893518518519</v>
      </c>
      <c r="F24" s="166" t="s">
        <v>128</v>
      </c>
      <c r="G24" s="172"/>
      <c r="H24" s="168"/>
      <c r="I24" s="172"/>
      <c r="J24" s="169">
        <f t="shared" si="1"/>
        <v>0.002789351852</v>
      </c>
    </row>
    <row r="25">
      <c r="A25" s="164">
        <v>21.0</v>
      </c>
      <c r="B25" s="221"/>
      <c r="C25" s="172"/>
      <c r="D25" s="171">
        <v>0.0</v>
      </c>
      <c r="E25" s="171">
        <v>0.0</v>
      </c>
      <c r="F25" s="172"/>
      <c r="G25" s="172"/>
      <c r="H25" s="168"/>
      <c r="I25" s="172"/>
      <c r="J25" s="169">
        <f t="shared" si="1"/>
        <v>0</v>
      </c>
    </row>
    <row r="26">
      <c r="A26" s="164">
        <v>22.0</v>
      </c>
      <c r="B26" s="221"/>
      <c r="C26" s="172"/>
      <c r="D26" s="171">
        <v>0.0</v>
      </c>
      <c r="E26" s="171">
        <v>0.0</v>
      </c>
      <c r="F26" s="172"/>
      <c r="G26" s="172"/>
      <c r="H26" s="168"/>
      <c r="I26" s="172"/>
      <c r="J26" s="169">
        <f t="shared" si="1"/>
        <v>0</v>
      </c>
    </row>
    <row r="27">
      <c r="A27" s="164">
        <v>23.0</v>
      </c>
      <c r="B27" s="221"/>
      <c r="C27" s="172"/>
      <c r="D27" s="171">
        <v>0.0</v>
      </c>
      <c r="E27" s="171">
        <v>0.0</v>
      </c>
      <c r="F27" s="172"/>
      <c r="G27" s="172"/>
      <c r="H27" s="168"/>
      <c r="I27" s="172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  <row r="82">
      <c r="A82" s="164">
        <v>78.0</v>
      </c>
      <c r="B82" s="168"/>
      <c r="C82" s="168"/>
      <c r="D82" s="171">
        <v>0.0</v>
      </c>
      <c r="E82" s="171">
        <v>0.0</v>
      </c>
      <c r="F82" s="168"/>
      <c r="G82" s="168"/>
      <c r="H82" s="168"/>
      <c r="I82" s="168"/>
      <c r="J82" s="169">
        <f t="shared" si="1"/>
        <v>0</v>
      </c>
    </row>
    <row r="83">
      <c r="A83" s="164">
        <v>79.0</v>
      </c>
      <c r="B83" s="168"/>
      <c r="C83" s="168"/>
      <c r="D83" s="171">
        <v>0.0</v>
      </c>
      <c r="E83" s="171">
        <v>0.0</v>
      </c>
      <c r="F83" s="168"/>
      <c r="G83" s="168"/>
      <c r="H83" s="168"/>
      <c r="I83" s="168"/>
      <c r="J83" s="169">
        <f t="shared" si="1"/>
        <v>0</v>
      </c>
    </row>
    <row r="84">
      <c r="A84" s="164">
        <v>80.0</v>
      </c>
      <c r="B84" s="168"/>
      <c r="C84" s="168"/>
      <c r="D84" s="171">
        <v>0.0</v>
      </c>
      <c r="E84" s="171">
        <v>0.0</v>
      </c>
      <c r="F84" s="168"/>
      <c r="G84" s="168"/>
      <c r="H84" s="168"/>
      <c r="I84" s="168"/>
      <c r="J84" s="169">
        <f t="shared" si="1"/>
        <v>0</v>
      </c>
    </row>
    <row r="85">
      <c r="A85" s="164">
        <v>81.0</v>
      </c>
      <c r="B85" s="168"/>
      <c r="C85" s="168"/>
      <c r="D85" s="171">
        <v>0.0</v>
      </c>
      <c r="E85" s="171">
        <v>0.0</v>
      </c>
      <c r="F85" s="168"/>
      <c r="G85" s="168"/>
      <c r="H85" s="168"/>
      <c r="I85" s="168"/>
      <c r="J85" s="169">
        <f t="shared" si="1"/>
        <v>0</v>
      </c>
    </row>
    <row r="86">
      <c r="A86" s="164">
        <v>82.0</v>
      </c>
      <c r="B86" s="168"/>
      <c r="C86" s="168"/>
      <c r="D86" s="171">
        <v>0.0</v>
      </c>
      <c r="E86" s="171">
        <v>0.0</v>
      </c>
      <c r="F86" s="168"/>
      <c r="G86" s="168"/>
      <c r="H86" s="168"/>
      <c r="I86" s="168"/>
      <c r="J86" s="169">
        <f t="shared" si="1"/>
        <v>0</v>
      </c>
    </row>
    <row r="87">
      <c r="A87" s="164">
        <v>83.0</v>
      </c>
      <c r="B87" s="168"/>
      <c r="C87" s="168"/>
      <c r="D87" s="171">
        <v>0.0</v>
      </c>
      <c r="E87" s="171">
        <v>0.0</v>
      </c>
      <c r="F87" s="168"/>
      <c r="G87" s="168"/>
      <c r="H87" s="168"/>
      <c r="I87" s="168"/>
      <c r="J87" s="169">
        <f t="shared" si="1"/>
        <v>0</v>
      </c>
    </row>
    <row r="88">
      <c r="A88" s="164">
        <v>84.0</v>
      </c>
      <c r="B88" s="168"/>
      <c r="C88" s="168"/>
      <c r="D88" s="171">
        <v>0.0</v>
      </c>
      <c r="E88" s="171">
        <v>0.0</v>
      </c>
      <c r="F88" s="168"/>
      <c r="G88" s="168"/>
      <c r="H88" s="168"/>
      <c r="I88" s="168"/>
      <c r="J88" s="169">
        <f t="shared" si="1"/>
        <v>0</v>
      </c>
    </row>
    <row r="89">
      <c r="A89" s="164">
        <v>85.0</v>
      </c>
      <c r="B89" s="168"/>
      <c r="C89" s="168"/>
      <c r="D89" s="171">
        <v>0.0</v>
      </c>
      <c r="E89" s="171">
        <v>0.0</v>
      </c>
      <c r="F89" s="168"/>
      <c r="G89" s="168"/>
      <c r="H89" s="168"/>
      <c r="I89" s="168"/>
      <c r="J89" s="169">
        <f t="shared" si="1"/>
        <v>0</v>
      </c>
    </row>
    <row r="90">
      <c r="A90" s="164">
        <v>86.0</v>
      </c>
      <c r="B90" s="168"/>
      <c r="C90" s="168"/>
      <c r="D90" s="171">
        <v>0.0</v>
      </c>
      <c r="E90" s="171">
        <v>0.0</v>
      </c>
      <c r="F90" s="168"/>
      <c r="G90" s="168"/>
      <c r="H90" s="168"/>
      <c r="I90" s="168"/>
      <c r="J90" s="169">
        <f t="shared" si="1"/>
        <v>0</v>
      </c>
    </row>
    <row r="91">
      <c r="A91" s="164">
        <v>87.0</v>
      </c>
      <c r="B91" s="168"/>
      <c r="C91" s="168"/>
      <c r="D91" s="171">
        <v>0.0</v>
      </c>
      <c r="E91" s="171">
        <v>0.0</v>
      </c>
      <c r="F91" s="168"/>
      <c r="G91" s="168"/>
      <c r="H91" s="168"/>
      <c r="I91" s="168"/>
      <c r="J91" s="169">
        <f t="shared" si="1"/>
        <v>0</v>
      </c>
    </row>
    <row r="92">
      <c r="A92" s="164">
        <v>88.0</v>
      </c>
      <c r="B92" s="168"/>
      <c r="C92" s="168"/>
      <c r="D92" s="171">
        <v>0.0</v>
      </c>
      <c r="E92" s="171">
        <v>0.0</v>
      </c>
      <c r="F92" s="168"/>
      <c r="G92" s="168"/>
      <c r="H92" s="168"/>
      <c r="I92" s="168"/>
      <c r="J92" s="169">
        <f t="shared" si="1"/>
        <v>0</v>
      </c>
    </row>
    <row r="93">
      <c r="A93" s="164">
        <v>89.0</v>
      </c>
      <c r="B93" s="168"/>
      <c r="C93" s="168"/>
      <c r="D93" s="171">
        <v>0.0</v>
      </c>
      <c r="E93" s="171">
        <v>0.0</v>
      </c>
      <c r="F93" s="168"/>
      <c r="G93" s="168"/>
      <c r="H93" s="168"/>
      <c r="I93" s="168"/>
      <c r="J93" s="169">
        <f t="shared" si="1"/>
        <v>0</v>
      </c>
    </row>
    <row r="94">
      <c r="A94" s="164">
        <v>90.0</v>
      </c>
      <c r="B94" s="168"/>
      <c r="C94" s="168"/>
      <c r="D94" s="171">
        <v>0.0</v>
      </c>
      <c r="E94" s="171">
        <v>0.0</v>
      </c>
      <c r="F94" s="168"/>
      <c r="G94" s="168"/>
      <c r="H94" s="168"/>
      <c r="I94" s="168"/>
      <c r="J94" s="169">
        <f t="shared" si="1"/>
        <v>0</v>
      </c>
    </row>
    <row r="95">
      <c r="A95" s="164">
        <v>91.0</v>
      </c>
      <c r="B95" s="168"/>
      <c r="C95" s="168"/>
      <c r="D95" s="171">
        <v>0.0</v>
      </c>
      <c r="E95" s="171">
        <v>0.0</v>
      </c>
      <c r="F95" s="168"/>
      <c r="G95" s="168"/>
      <c r="H95" s="168"/>
      <c r="I95" s="168"/>
      <c r="J95" s="169">
        <f t="shared" si="1"/>
        <v>0</v>
      </c>
    </row>
    <row r="96">
      <c r="A96" s="164">
        <v>92.0</v>
      </c>
      <c r="B96" s="168"/>
      <c r="C96" s="168"/>
      <c r="D96" s="171">
        <v>0.0</v>
      </c>
      <c r="E96" s="171">
        <v>0.0</v>
      </c>
      <c r="F96" s="168"/>
      <c r="G96" s="168"/>
      <c r="H96" s="168"/>
      <c r="I96" s="168"/>
      <c r="J96" s="169">
        <f t="shared" si="1"/>
        <v>0</v>
      </c>
    </row>
    <row r="97">
      <c r="A97" s="164">
        <v>93.0</v>
      </c>
      <c r="B97" s="168"/>
      <c r="C97" s="168"/>
      <c r="D97" s="171">
        <v>0.0</v>
      </c>
      <c r="E97" s="171">
        <v>0.0</v>
      </c>
      <c r="F97" s="168"/>
      <c r="G97" s="168"/>
      <c r="H97" s="168"/>
      <c r="I97" s="168"/>
      <c r="J97" s="169">
        <f t="shared" si="1"/>
        <v>0</v>
      </c>
    </row>
    <row r="98">
      <c r="A98" s="164">
        <v>94.0</v>
      </c>
      <c r="B98" s="168"/>
      <c r="C98" s="168"/>
      <c r="D98" s="171">
        <v>0.0</v>
      </c>
      <c r="E98" s="171">
        <v>0.0</v>
      </c>
      <c r="F98" s="168"/>
      <c r="G98" s="168"/>
      <c r="H98" s="168"/>
      <c r="I98" s="168"/>
      <c r="J98" s="169">
        <f t="shared" si="1"/>
        <v>0</v>
      </c>
    </row>
    <row r="99">
      <c r="A99" s="164">
        <v>95.0</v>
      </c>
      <c r="B99" s="168"/>
      <c r="C99" s="168"/>
      <c r="D99" s="171">
        <v>0.0</v>
      </c>
      <c r="E99" s="171">
        <v>0.0</v>
      </c>
      <c r="F99" s="168"/>
      <c r="G99" s="168"/>
      <c r="H99" s="168"/>
      <c r="I99" s="168"/>
      <c r="J99" s="169">
        <f t="shared" si="1"/>
        <v>0</v>
      </c>
    </row>
    <row r="100">
      <c r="A100" s="164">
        <v>96.0</v>
      </c>
      <c r="B100" s="168"/>
      <c r="C100" s="168"/>
      <c r="D100" s="171">
        <v>0.0</v>
      </c>
      <c r="E100" s="171">
        <v>0.0</v>
      </c>
      <c r="F100" s="168"/>
      <c r="G100" s="168"/>
      <c r="H100" s="168"/>
      <c r="I100" s="168"/>
      <c r="J100" s="169">
        <f t="shared" si="1"/>
        <v>0</v>
      </c>
    </row>
    <row r="101">
      <c r="A101" s="164">
        <v>97.0</v>
      </c>
      <c r="B101" s="168"/>
      <c r="C101" s="168"/>
      <c r="D101" s="171">
        <v>0.0</v>
      </c>
      <c r="E101" s="171">
        <v>0.0</v>
      </c>
      <c r="F101" s="168"/>
      <c r="G101" s="168"/>
      <c r="H101" s="168"/>
      <c r="I101" s="168"/>
      <c r="J101" s="169">
        <f t="shared" si="1"/>
        <v>0</v>
      </c>
    </row>
    <row r="102">
      <c r="A102" s="164">
        <v>98.0</v>
      </c>
      <c r="B102" s="168"/>
      <c r="C102" s="168"/>
      <c r="D102" s="171">
        <v>0.0</v>
      </c>
      <c r="E102" s="171">
        <v>0.0</v>
      </c>
      <c r="F102" s="168"/>
      <c r="G102" s="168"/>
      <c r="H102" s="168"/>
      <c r="I102" s="168"/>
      <c r="J102" s="169">
        <f t="shared" si="1"/>
        <v>0</v>
      </c>
    </row>
    <row r="103">
      <c r="A103" s="164">
        <v>99.0</v>
      </c>
      <c r="B103" s="168"/>
      <c r="C103" s="168"/>
      <c r="D103" s="171">
        <v>0.0</v>
      </c>
      <c r="E103" s="171">
        <v>0.0</v>
      </c>
      <c r="F103" s="168"/>
      <c r="G103" s="168"/>
      <c r="H103" s="168"/>
      <c r="I103" s="168"/>
      <c r="J103" s="169">
        <f t="shared" si="1"/>
        <v>0</v>
      </c>
    </row>
    <row r="104">
      <c r="A104" s="164">
        <v>100.0</v>
      </c>
      <c r="B104" s="168"/>
      <c r="C104" s="168"/>
      <c r="D104" s="171">
        <v>0.0</v>
      </c>
      <c r="E104" s="171">
        <v>0.0</v>
      </c>
      <c r="F104" s="168"/>
      <c r="G104" s="168"/>
      <c r="H104" s="168"/>
      <c r="I104" s="168"/>
      <c r="J104" s="169">
        <f t="shared" si="1"/>
        <v>0</v>
      </c>
    </row>
    <row r="105">
      <c r="A105" s="164">
        <v>101.0</v>
      </c>
      <c r="B105" s="168"/>
      <c r="C105" s="168"/>
      <c r="D105" s="171">
        <v>0.0</v>
      </c>
      <c r="E105" s="171">
        <v>0.0</v>
      </c>
      <c r="F105" s="168"/>
      <c r="G105" s="168"/>
      <c r="H105" s="168"/>
      <c r="I105" s="168"/>
      <c r="J105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105">
      <formula1>"OUI,NON"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7" max="7" width="14.13"/>
    <col customWidth="1" min="8" max="8" width="15.38"/>
    <col customWidth="1" min="10" max="10" width="14.5"/>
    <col customWidth="1" min="12" max="12" width="32.5"/>
    <col customWidth="1" min="13" max="13" width="19.5"/>
    <col customWidth="1" min="14" max="14" width="17.25"/>
  </cols>
  <sheetData>
    <row r="1">
      <c r="A1" s="158" t="s">
        <v>197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198</v>
      </c>
      <c r="H3" s="162" t="s">
        <v>199</v>
      </c>
      <c r="I3" s="227" t="s">
        <v>200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220">
        <v>46119.0</v>
      </c>
      <c r="C5" s="172"/>
      <c r="D5" s="167">
        <v>0.011226851851851852</v>
      </c>
      <c r="E5" s="167">
        <v>0.01175925925925926</v>
      </c>
      <c r="F5" s="166" t="s">
        <v>146</v>
      </c>
      <c r="G5" s="172"/>
      <c r="H5" s="172"/>
      <c r="I5" s="166">
        <v>80.92</v>
      </c>
      <c r="J5" s="169">
        <f t="shared" ref="J5:J95" si="1">E5-D5</f>
        <v>0.0005324074074</v>
      </c>
    </row>
    <row r="6">
      <c r="A6" s="164">
        <v>2.0</v>
      </c>
      <c r="B6" s="221"/>
      <c r="C6" s="172"/>
      <c r="D6" s="167">
        <v>0.011828703703703704</v>
      </c>
      <c r="E6" s="167">
        <v>0.012013888888888888</v>
      </c>
      <c r="F6" s="166" t="s">
        <v>128</v>
      </c>
      <c r="G6" s="166">
        <v>79.96</v>
      </c>
      <c r="H6" s="228">
        <v>46023.0</v>
      </c>
      <c r="I6" s="166">
        <v>80.96</v>
      </c>
      <c r="J6" s="169">
        <f t="shared" si="1"/>
        <v>0.0001851851852</v>
      </c>
    </row>
    <row r="7">
      <c r="A7" s="164">
        <v>3.0</v>
      </c>
      <c r="B7" s="221"/>
      <c r="C7" s="172"/>
      <c r="D7" s="167">
        <v>0.012129629629629629</v>
      </c>
      <c r="E7" s="171">
        <v>0.0</v>
      </c>
      <c r="F7" s="172"/>
      <c r="G7" s="172"/>
      <c r="H7" s="172"/>
      <c r="I7" s="166">
        <v>82.63</v>
      </c>
      <c r="J7" s="169">
        <f t="shared" si="1"/>
        <v>-0.01212962963</v>
      </c>
    </row>
    <row r="8">
      <c r="A8" s="164">
        <v>4.0</v>
      </c>
      <c r="B8" s="221"/>
      <c r="C8" s="172"/>
      <c r="D8" s="171">
        <v>0.0</v>
      </c>
      <c r="E8" s="171">
        <v>0.0</v>
      </c>
      <c r="F8" s="172"/>
      <c r="G8" s="172"/>
      <c r="H8" s="172"/>
      <c r="I8" s="172"/>
      <c r="J8" s="169">
        <f t="shared" si="1"/>
        <v>0</v>
      </c>
    </row>
    <row r="9">
      <c r="A9" s="164">
        <v>5.0</v>
      </c>
      <c r="B9" s="221"/>
      <c r="C9" s="172"/>
      <c r="D9" s="171">
        <v>0.0</v>
      </c>
      <c r="E9" s="171">
        <v>0.0</v>
      </c>
      <c r="F9" s="172"/>
      <c r="G9" s="172"/>
      <c r="H9" s="172"/>
      <c r="I9" s="172"/>
      <c r="J9" s="169">
        <f t="shared" si="1"/>
        <v>0</v>
      </c>
    </row>
    <row r="10">
      <c r="A10" s="164">
        <v>6.0</v>
      </c>
      <c r="B10" s="221"/>
      <c r="C10" s="172"/>
      <c r="D10" s="171">
        <v>0.0</v>
      </c>
      <c r="E10" s="171">
        <v>0.0</v>
      </c>
      <c r="F10" s="172"/>
      <c r="G10" s="172"/>
      <c r="H10" s="168"/>
      <c r="I10" s="172"/>
      <c r="J10" s="169">
        <f t="shared" si="1"/>
        <v>0</v>
      </c>
    </row>
    <row r="11">
      <c r="A11" s="164">
        <v>7.0</v>
      </c>
      <c r="B11" s="221"/>
      <c r="C11" s="172"/>
      <c r="D11" s="171">
        <v>0.0</v>
      </c>
      <c r="E11" s="171">
        <v>0.0</v>
      </c>
      <c r="F11" s="172"/>
      <c r="G11" s="172"/>
      <c r="H11" s="168"/>
      <c r="I11" s="172"/>
      <c r="J11" s="169">
        <f t="shared" si="1"/>
        <v>0</v>
      </c>
    </row>
    <row r="12">
      <c r="A12" s="164">
        <v>8.0</v>
      </c>
      <c r="B12" s="221"/>
      <c r="C12" s="172"/>
      <c r="D12" s="171">
        <v>0.0</v>
      </c>
      <c r="E12" s="171">
        <v>0.0</v>
      </c>
      <c r="F12" s="172"/>
      <c r="G12" s="172"/>
      <c r="H12" s="168"/>
      <c r="I12" s="172"/>
      <c r="J12" s="169">
        <f t="shared" si="1"/>
        <v>0</v>
      </c>
      <c r="O12" s="176"/>
    </row>
    <row r="13">
      <c r="A13" s="164">
        <v>9.0</v>
      </c>
      <c r="B13" s="221"/>
      <c r="C13" s="172"/>
      <c r="D13" s="171">
        <v>0.0</v>
      </c>
      <c r="E13" s="171">
        <v>0.0</v>
      </c>
      <c r="F13" s="172"/>
      <c r="G13" s="172"/>
      <c r="H13" s="168"/>
      <c r="I13" s="172"/>
      <c r="J13" s="169">
        <f t="shared" si="1"/>
        <v>0</v>
      </c>
      <c r="O13" s="176"/>
    </row>
    <row r="14">
      <c r="A14" s="164">
        <v>10.0</v>
      </c>
      <c r="B14" s="221"/>
      <c r="C14" s="172"/>
      <c r="D14" s="171">
        <v>0.0</v>
      </c>
      <c r="E14" s="171">
        <v>0.0</v>
      </c>
      <c r="F14" s="172"/>
      <c r="G14" s="172"/>
      <c r="H14" s="168"/>
      <c r="I14" s="172"/>
      <c r="J14" s="169">
        <f t="shared" si="1"/>
        <v>0</v>
      </c>
      <c r="O14" s="176"/>
    </row>
    <row r="15">
      <c r="A15" s="164">
        <v>11.0</v>
      </c>
      <c r="B15" s="221"/>
      <c r="C15" s="172"/>
      <c r="D15" s="171">
        <v>0.0</v>
      </c>
      <c r="E15" s="171">
        <v>0.0</v>
      </c>
      <c r="F15" s="172"/>
      <c r="G15" s="172"/>
      <c r="H15" s="168"/>
      <c r="I15" s="172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221"/>
      <c r="C16" s="172"/>
      <c r="D16" s="171">
        <v>0.0</v>
      </c>
      <c r="E16" s="171">
        <v>0.0</v>
      </c>
      <c r="F16" s="172"/>
      <c r="G16" s="172"/>
      <c r="H16" s="168"/>
      <c r="I16" s="172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221"/>
      <c r="C17" s="172"/>
      <c r="D17" s="171">
        <v>0.0</v>
      </c>
      <c r="E17" s="171">
        <v>0.0</v>
      </c>
      <c r="F17" s="172"/>
      <c r="G17" s="172"/>
      <c r="H17" s="168"/>
      <c r="I17" s="172"/>
      <c r="J17" s="169">
        <f t="shared" si="1"/>
        <v>0</v>
      </c>
      <c r="L17" s="177">
        <f>COUNTA(F5:F92)</f>
        <v>2</v>
      </c>
      <c r="M17" s="177">
        <f>COUNTIF(F5:F93,"non")</f>
        <v>1</v>
      </c>
      <c r="N17" s="177">
        <f>COUNTIF(F5:F92,"oui")</f>
        <v>1</v>
      </c>
      <c r="O17" s="177">
        <f>(L17-M17)/L17</f>
        <v>0.5</v>
      </c>
      <c r="P17" s="139">
        <f>AVERAGEIF(J$5:J$200,"&lt;&gt;0")</f>
        <v>-0.003804012346</v>
      </c>
    </row>
    <row r="18">
      <c r="A18" s="164">
        <v>14.0</v>
      </c>
      <c r="B18" s="221"/>
      <c r="C18" s="172"/>
      <c r="D18" s="171">
        <v>0.0</v>
      </c>
      <c r="E18" s="171">
        <v>0.0</v>
      </c>
      <c r="F18" s="172"/>
      <c r="G18" s="172"/>
      <c r="H18" s="168"/>
      <c r="I18" s="172"/>
      <c r="J18" s="169">
        <f t="shared" si="1"/>
        <v>0</v>
      </c>
    </row>
    <row r="19">
      <c r="A19" s="164">
        <v>15.0</v>
      </c>
      <c r="B19" s="221"/>
      <c r="C19" s="172"/>
      <c r="D19" s="171">
        <v>0.0</v>
      </c>
      <c r="E19" s="171">
        <v>0.0</v>
      </c>
      <c r="F19" s="172"/>
      <c r="G19" s="172"/>
      <c r="H19" s="168"/>
      <c r="I19" s="172"/>
      <c r="J19" s="169">
        <f t="shared" si="1"/>
        <v>0</v>
      </c>
    </row>
    <row r="20">
      <c r="A20" s="164">
        <v>16.0</v>
      </c>
      <c r="B20" s="221"/>
      <c r="C20" s="172"/>
      <c r="D20" s="171">
        <v>0.0</v>
      </c>
      <c r="E20" s="171">
        <v>0.0</v>
      </c>
      <c r="F20" s="172"/>
      <c r="G20" s="172"/>
      <c r="H20" s="168"/>
      <c r="I20" s="172"/>
      <c r="J20" s="169">
        <f t="shared" si="1"/>
        <v>0</v>
      </c>
    </row>
    <row r="21">
      <c r="A21" s="164">
        <v>17.0</v>
      </c>
      <c r="B21" s="221"/>
      <c r="C21" s="172"/>
      <c r="D21" s="171">
        <v>0.0</v>
      </c>
      <c r="E21" s="171">
        <v>0.0</v>
      </c>
      <c r="F21" s="172"/>
      <c r="G21" s="172"/>
      <c r="H21" s="168"/>
      <c r="I21" s="172"/>
      <c r="J21" s="169">
        <f t="shared" si="1"/>
        <v>0</v>
      </c>
    </row>
    <row r="22">
      <c r="A22" s="164">
        <v>18.0</v>
      </c>
      <c r="B22" s="221"/>
      <c r="C22" s="172"/>
      <c r="D22" s="171">
        <v>0.0</v>
      </c>
      <c r="E22" s="171">
        <v>0.0</v>
      </c>
      <c r="F22" s="172"/>
      <c r="G22" s="172"/>
      <c r="H22" s="168"/>
      <c r="I22" s="172"/>
      <c r="J22" s="169">
        <f t="shared" si="1"/>
        <v>0</v>
      </c>
    </row>
    <row r="23">
      <c r="A23" s="164">
        <v>19.0</v>
      </c>
      <c r="B23" s="221"/>
      <c r="C23" s="172"/>
      <c r="D23" s="171">
        <v>0.0</v>
      </c>
      <c r="E23" s="171">
        <v>0.0</v>
      </c>
      <c r="F23" s="172"/>
      <c r="G23" s="172"/>
      <c r="H23" s="168"/>
      <c r="I23" s="172"/>
      <c r="J23" s="169">
        <f t="shared" si="1"/>
        <v>0</v>
      </c>
    </row>
    <row r="24">
      <c r="A24" s="164">
        <v>20.0</v>
      </c>
      <c r="B24" s="221"/>
      <c r="C24" s="172"/>
      <c r="D24" s="171">
        <v>0.0</v>
      </c>
      <c r="E24" s="171">
        <v>0.0</v>
      </c>
      <c r="F24" s="172"/>
      <c r="G24" s="172"/>
      <c r="H24" s="168"/>
      <c r="I24" s="172"/>
      <c r="J24" s="169">
        <f t="shared" si="1"/>
        <v>0</v>
      </c>
    </row>
    <row r="25">
      <c r="A25" s="164">
        <v>21.0</v>
      </c>
      <c r="B25" s="221"/>
      <c r="C25" s="172"/>
      <c r="D25" s="171">
        <v>0.0</v>
      </c>
      <c r="E25" s="171">
        <v>0.0</v>
      </c>
      <c r="F25" s="172"/>
      <c r="G25" s="172"/>
      <c r="H25" s="168"/>
      <c r="I25" s="172"/>
      <c r="J25" s="169">
        <f t="shared" si="1"/>
        <v>0</v>
      </c>
    </row>
    <row r="26">
      <c r="A26" s="164">
        <v>22.0</v>
      </c>
      <c r="B26" s="221"/>
      <c r="C26" s="172"/>
      <c r="D26" s="171">
        <v>0.0</v>
      </c>
      <c r="E26" s="171">
        <v>0.0</v>
      </c>
      <c r="F26" s="172"/>
      <c r="G26" s="172"/>
      <c r="H26" s="168"/>
      <c r="I26" s="172"/>
      <c r="J26" s="169">
        <f t="shared" si="1"/>
        <v>0</v>
      </c>
    </row>
    <row r="27">
      <c r="A27" s="164">
        <v>23.0</v>
      </c>
      <c r="B27" s="221"/>
      <c r="C27" s="172"/>
      <c r="D27" s="171">
        <v>0.0</v>
      </c>
      <c r="E27" s="171">
        <v>0.0</v>
      </c>
      <c r="F27" s="172"/>
      <c r="G27" s="172"/>
      <c r="H27" s="168"/>
      <c r="I27" s="172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  <row r="82">
      <c r="A82" s="164">
        <v>78.0</v>
      </c>
      <c r="B82" s="168"/>
      <c r="C82" s="168"/>
      <c r="D82" s="171">
        <v>0.0</v>
      </c>
      <c r="E82" s="171">
        <v>0.0</v>
      </c>
      <c r="F82" s="168"/>
      <c r="G82" s="168"/>
      <c r="H82" s="168"/>
      <c r="I82" s="168"/>
      <c r="J82" s="169">
        <f t="shared" si="1"/>
        <v>0</v>
      </c>
    </row>
    <row r="83">
      <c r="A83" s="164">
        <v>79.0</v>
      </c>
      <c r="B83" s="168"/>
      <c r="C83" s="168"/>
      <c r="D83" s="171">
        <v>0.0</v>
      </c>
      <c r="E83" s="171">
        <v>0.0</v>
      </c>
      <c r="F83" s="168"/>
      <c r="G83" s="168"/>
      <c r="H83" s="168"/>
      <c r="I83" s="168"/>
      <c r="J83" s="169">
        <f t="shared" si="1"/>
        <v>0</v>
      </c>
    </row>
    <row r="84">
      <c r="A84" s="164">
        <v>80.0</v>
      </c>
      <c r="B84" s="168"/>
      <c r="C84" s="168"/>
      <c r="D84" s="171">
        <v>0.0</v>
      </c>
      <c r="E84" s="171">
        <v>0.0</v>
      </c>
      <c r="F84" s="168"/>
      <c r="G84" s="168"/>
      <c r="H84" s="168"/>
      <c r="I84" s="168"/>
      <c r="J84" s="169">
        <f t="shared" si="1"/>
        <v>0</v>
      </c>
    </row>
    <row r="85">
      <c r="A85" s="164">
        <v>81.0</v>
      </c>
      <c r="B85" s="168"/>
      <c r="C85" s="168"/>
      <c r="D85" s="171">
        <v>0.0</v>
      </c>
      <c r="E85" s="171">
        <v>0.0</v>
      </c>
      <c r="F85" s="168"/>
      <c r="G85" s="168"/>
      <c r="H85" s="168"/>
      <c r="I85" s="168"/>
      <c r="J85" s="169">
        <f t="shared" si="1"/>
        <v>0</v>
      </c>
    </row>
    <row r="86">
      <c r="A86" s="164">
        <v>82.0</v>
      </c>
      <c r="B86" s="168"/>
      <c r="C86" s="168"/>
      <c r="D86" s="171">
        <v>0.0</v>
      </c>
      <c r="E86" s="171">
        <v>0.0</v>
      </c>
      <c r="F86" s="168"/>
      <c r="G86" s="168"/>
      <c r="H86" s="168"/>
      <c r="I86" s="168"/>
      <c r="J86" s="169">
        <f t="shared" si="1"/>
        <v>0</v>
      </c>
    </row>
    <row r="87">
      <c r="A87" s="164">
        <v>83.0</v>
      </c>
      <c r="B87" s="168"/>
      <c r="C87" s="168"/>
      <c r="D87" s="171">
        <v>0.0</v>
      </c>
      <c r="E87" s="171">
        <v>0.0</v>
      </c>
      <c r="F87" s="168"/>
      <c r="G87" s="168"/>
      <c r="H87" s="168"/>
      <c r="I87" s="168"/>
      <c r="J87" s="169">
        <f t="shared" si="1"/>
        <v>0</v>
      </c>
    </row>
    <row r="88">
      <c r="A88" s="164">
        <v>84.0</v>
      </c>
      <c r="B88" s="168"/>
      <c r="C88" s="168"/>
      <c r="D88" s="171">
        <v>0.0</v>
      </c>
      <c r="E88" s="171">
        <v>0.0</v>
      </c>
      <c r="F88" s="168"/>
      <c r="G88" s="168"/>
      <c r="H88" s="168"/>
      <c r="I88" s="168"/>
      <c r="J88" s="169">
        <f t="shared" si="1"/>
        <v>0</v>
      </c>
    </row>
    <row r="89">
      <c r="A89" s="164">
        <v>85.0</v>
      </c>
      <c r="B89" s="168"/>
      <c r="C89" s="168"/>
      <c r="D89" s="171">
        <v>0.0</v>
      </c>
      <c r="E89" s="171">
        <v>0.0</v>
      </c>
      <c r="F89" s="168"/>
      <c r="G89" s="168"/>
      <c r="H89" s="168"/>
      <c r="I89" s="168"/>
      <c r="J89" s="169">
        <f t="shared" si="1"/>
        <v>0</v>
      </c>
    </row>
    <row r="90">
      <c r="A90" s="164">
        <v>86.0</v>
      </c>
      <c r="B90" s="168"/>
      <c r="C90" s="168"/>
      <c r="D90" s="171">
        <v>0.0</v>
      </c>
      <c r="E90" s="171">
        <v>0.0</v>
      </c>
      <c r="F90" s="168"/>
      <c r="G90" s="168"/>
      <c r="H90" s="168"/>
      <c r="I90" s="168"/>
      <c r="J90" s="169">
        <f t="shared" si="1"/>
        <v>0</v>
      </c>
    </row>
    <row r="91">
      <c r="A91" s="164">
        <v>87.0</v>
      </c>
      <c r="B91" s="168"/>
      <c r="C91" s="168"/>
      <c r="D91" s="171">
        <v>0.0</v>
      </c>
      <c r="E91" s="171">
        <v>0.0</v>
      </c>
      <c r="F91" s="168"/>
      <c r="G91" s="168"/>
      <c r="H91" s="168"/>
      <c r="I91" s="168"/>
      <c r="J91" s="169">
        <f t="shared" si="1"/>
        <v>0</v>
      </c>
    </row>
    <row r="92">
      <c r="A92" s="164">
        <v>88.0</v>
      </c>
      <c r="B92" s="168"/>
      <c r="C92" s="168"/>
      <c r="D92" s="171">
        <v>0.0</v>
      </c>
      <c r="E92" s="171">
        <v>0.0</v>
      </c>
      <c r="F92" s="168"/>
      <c r="G92" s="168"/>
      <c r="H92" s="168"/>
      <c r="I92" s="168"/>
      <c r="J92" s="169">
        <f t="shared" si="1"/>
        <v>0</v>
      </c>
    </row>
    <row r="93">
      <c r="A93" s="164">
        <v>89.0</v>
      </c>
      <c r="B93" s="168"/>
      <c r="C93" s="168"/>
      <c r="D93" s="171">
        <v>0.0</v>
      </c>
      <c r="E93" s="171">
        <v>0.0</v>
      </c>
      <c r="F93" s="168"/>
      <c r="G93" s="168"/>
      <c r="H93" s="168"/>
      <c r="I93" s="168"/>
      <c r="J93" s="169">
        <f t="shared" si="1"/>
        <v>0</v>
      </c>
    </row>
    <row r="94">
      <c r="A94" s="164">
        <v>90.0</v>
      </c>
      <c r="B94" s="168"/>
      <c r="C94" s="168"/>
      <c r="D94" s="171">
        <v>0.0</v>
      </c>
      <c r="E94" s="171">
        <v>0.0</v>
      </c>
      <c r="F94" s="168"/>
      <c r="G94" s="168"/>
      <c r="H94" s="168"/>
      <c r="I94" s="168"/>
      <c r="J94" s="169">
        <f t="shared" si="1"/>
        <v>0</v>
      </c>
    </row>
    <row r="95">
      <c r="A95" s="164">
        <v>91.0</v>
      </c>
      <c r="B95" s="168"/>
      <c r="C95" s="168"/>
      <c r="D95" s="171">
        <v>0.0</v>
      </c>
      <c r="E95" s="171">
        <v>0.0</v>
      </c>
      <c r="F95" s="168"/>
      <c r="G95" s="168"/>
      <c r="H95" s="168"/>
      <c r="I95" s="168"/>
      <c r="J95" s="169">
        <f t="shared" si="1"/>
        <v>0</v>
      </c>
    </row>
    <row r="96">
      <c r="A96" s="229"/>
      <c r="B96" s="230"/>
      <c r="C96" s="231"/>
      <c r="D96" s="232"/>
      <c r="E96" s="232"/>
      <c r="F96" s="231"/>
      <c r="G96" s="233"/>
      <c r="H96" s="233"/>
      <c r="I96" s="233"/>
      <c r="J96" s="234"/>
    </row>
    <row r="97">
      <c r="A97" s="205"/>
      <c r="B97" s="206"/>
      <c r="C97" s="206"/>
      <c r="D97" s="207"/>
      <c r="E97" s="207"/>
      <c r="F97" s="206"/>
      <c r="G97" s="206"/>
      <c r="H97" s="206"/>
      <c r="I97" s="206"/>
    </row>
    <row r="98">
      <c r="A98" s="235"/>
      <c r="B98" s="206"/>
      <c r="C98" s="206"/>
      <c r="D98" s="207"/>
      <c r="E98" s="207"/>
      <c r="F98" s="206"/>
      <c r="G98" s="206"/>
      <c r="H98" s="206"/>
      <c r="I98" s="206"/>
    </row>
    <row r="99">
      <c r="A99" s="205"/>
      <c r="B99" s="206"/>
      <c r="C99" s="206"/>
      <c r="D99" s="207"/>
      <c r="E99" s="207"/>
      <c r="F99" s="206"/>
      <c r="G99" s="206"/>
      <c r="H99" s="206"/>
      <c r="I99" s="206"/>
    </row>
    <row r="100">
      <c r="A100" s="235"/>
      <c r="B100" s="206"/>
      <c r="C100" s="206"/>
      <c r="D100" s="207"/>
      <c r="E100" s="207"/>
      <c r="F100" s="206"/>
      <c r="G100" s="206"/>
      <c r="H100" s="206"/>
      <c r="I100" s="206"/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 C98 C100">
    <cfRule type="containsText" dxfId="7" priority="1" operator="containsText" text="oui">
      <formula>NOT(ISERROR(SEARCH(("oui"),(F5))))</formula>
    </cfRule>
  </conditionalFormatting>
  <conditionalFormatting sqref="F5:F500 C98 C1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95">
      <formula1>"OUI,NON"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21.38"/>
    <col customWidth="1" min="5" max="5" width="19.25"/>
    <col customWidth="1" min="10" max="10" width="14.0"/>
    <col customWidth="1" min="12" max="12" width="30.0"/>
    <col customWidth="1" min="13" max="13" width="18.63"/>
    <col customWidth="1" min="14" max="14" width="18.0"/>
  </cols>
  <sheetData>
    <row r="1">
      <c r="A1" s="158" t="s">
        <v>201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202</v>
      </c>
      <c r="H3" s="162" t="s">
        <v>203</v>
      </c>
      <c r="I3" s="162" t="s">
        <v>204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221"/>
      <c r="C5" s="172"/>
      <c r="D5" s="171">
        <v>0.0</v>
      </c>
      <c r="E5" s="171">
        <v>0.0</v>
      </c>
      <c r="F5" s="172"/>
      <c r="G5" s="172"/>
      <c r="H5" s="172"/>
      <c r="I5" s="172"/>
      <c r="J5" s="169">
        <f t="shared" ref="J5:J98" si="1">E5-D5</f>
        <v>0</v>
      </c>
    </row>
    <row r="6">
      <c r="A6" s="164">
        <v>2.0</v>
      </c>
      <c r="B6" s="221"/>
      <c r="C6" s="172"/>
      <c r="D6" s="171">
        <v>0.0</v>
      </c>
      <c r="E6" s="171">
        <v>0.0</v>
      </c>
      <c r="F6" s="172"/>
      <c r="G6" s="172"/>
      <c r="H6" s="172"/>
      <c r="I6" s="172"/>
      <c r="J6" s="169">
        <f t="shared" si="1"/>
        <v>0</v>
      </c>
    </row>
    <row r="7">
      <c r="A7" s="164">
        <v>3.0</v>
      </c>
      <c r="B7" s="221"/>
      <c r="C7" s="172"/>
      <c r="D7" s="171">
        <v>0.0</v>
      </c>
      <c r="E7" s="171">
        <v>0.0</v>
      </c>
      <c r="F7" s="172"/>
      <c r="G7" s="172"/>
      <c r="H7" s="172"/>
      <c r="I7" s="172"/>
      <c r="J7" s="169">
        <f t="shared" si="1"/>
        <v>0</v>
      </c>
    </row>
    <row r="8">
      <c r="A8" s="164">
        <v>4.0</v>
      </c>
      <c r="B8" s="221"/>
      <c r="C8" s="172"/>
      <c r="D8" s="171">
        <v>0.0</v>
      </c>
      <c r="E8" s="171">
        <v>0.0</v>
      </c>
      <c r="F8" s="172"/>
      <c r="G8" s="172"/>
      <c r="H8" s="172"/>
      <c r="I8" s="172"/>
      <c r="J8" s="169">
        <f t="shared" si="1"/>
        <v>0</v>
      </c>
    </row>
    <row r="9">
      <c r="A9" s="164">
        <v>5.0</v>
      </c>
      <c r="B9" s="221"/>
      <c r="C9" s="172"/>
      <c r="D9" s="171">
        <v>0.0</v>
      </c>
      <c r="E9" s="171">
        <v>0.0</v>
      </c>
      <c r="F9" s="172"/>
      <c r="G9" s="172"/>
      <c r="H9" s="172"/>
      <c r="I9" s="172"/>
      <c r="J9" s="169">
        <f t="shared" si="1"/>
        <v>0</v>
      </c>
    </row>
    <row r="10">
      <c r="A10" s="164">
        <v>6.0</v>
      </c>
      <c r="B10" s="221"/>
      <c r="C10" s="172"/>
      <c r="D10" s="171">
        <v>0.0</v>
      </c>
      <c r="E10" s="171">
        <v>0.0</v>
      </c>
      <c r="F10" s="172"/>
      <c r="G10" s="172"/>
      <c r="H10" s="168"/>
      <c r="I10" s="172"/>
      <c r="J10" s="169">
        <f t="shared" si="1"/>
        <v>0</v>
      </c>
    </row>
    <row r="11">
      <c r="A11" s="164">
        <v>7.0</v>
      </c>
      <c r="B11" s="221"/>
      <c r="C11" s="172"/>
      <c r="D11" s="171">
        <v>0.0</v>
      </c>
      <c r="E11" s="171">
        <v>0.0</v>
      </c>
      <c r="F11" s="172"/>
      <c r="G11" s="172"/>
      <c r="H11" s="168"/>
      <c r="I11" s="172"/>
      <c r="J11" s="169">
        <f t="shared" si="1"/>
        <v>0</v>
      </c>
    </row>
    <row r="12">
      <c r="A12" s="164">
        <v>8.0</v>
      </c>
      <c r="B12" s="221"/>
      <c r="C12" s="172"/>
      <c r="D12" s="171">
        <v>0.0</v>
      </c>
      <c r="E12" s="171">
        <v>0.0</v>
      </c>
      <c r="F12" s="172"/>
      <c r="G12" s="172"/>
      <c r="H12" s="168"/>
      <c r="I12" s="172"/>
      <c r="J12" s="169">
        <f t="shared" si="1"/>
        <v>0</v>
      </c>
      <c r="O12" s="176"/>
    </row>
    <row r="13">
      <c r="A13" s="164">
        <v>9.0</v>
      </c>
      <c r="B13" s="221"/>
      <c r="C13" s="172"/>
      <c r="D13" s="171">
        <v>0.0</v>
      </c>
      <c r="E13" s="171">
        <v>0.0</v>
      </c>
      <c r="F13" s="172"/>
      <c r="G13" s="172"/>
      <c r="H13" s="168"/>
      <c r="I13" s="172"/>
      <c r="J13" s="169">
        <f t="shared" si="1"/>
        <v>0</v>
      </c>
      <c r="O13" s="176"/>
    </row>
    <row r="14">
      <c r="A14" s="164">
        <v>10.0</v>
      </c>
      <c r="B14" s="221"/>
      <c r="C14" s="172"/>
      <c r="D14" s="171">
        <v>0.0</v>
      </c>
      <c r="E14" s="171">
        <v>0.0</v>
      </c>
      <c r="F14" s="172"/>
      <c r="G14" s="172"/>
      <c r="H14" s="168"/>
      <c r="I14" s="172"/>
      <c r="J14" s="169">
        <f t="shared" si="1"/>
        <v>0</v>
      </c>
      <c r="O14" s="176"/>
    </row>
    <row r="15">
      <c r="A15" s="164">
        <v>11.0</v>
      </c>
      <c r="B15" s="221"/>
      <c r="C15" s="172"/>
      <c r="D15" s="171">
        <v>0.0</v>
      </c>
      <c r="E15" s="171">
        <v>0.0</v>
      </c>
      <c r="F15" s="172"/>
      <c r="G15" s="172"/>
      <c r="H15" s="168"/>
      <c r="I15" s="172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221"/>
      <c r="C16" s="172"/>
      <c r="D16" s="171">
        <v>0.0</v>
      </c>
      <c r="E16" s="171">
        <v>0.0</v>
      </c>
      <c r="F16" s="172"/>
      <c r="G16" s="172"/>
      <c r="H16" s="168"/>
      <c r="I16" s="172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221"/>
      <c r="C17" s="172"/>
      <c r="D17" s="171">
        <v>0.0</v>
      </c>
      <c r="E17" s="171">
        <v>0.0</v>
      </c>
      <c r="F17" s="172"/>
      <c r="G17" s="172"/>
      <c r="H17" s="168"/>
      <c r="I17" s="172"/>
      <c r="J17" s="169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221"/>
      <c r="C18" s="172"/>
      <c r="D18" s="171">
        <v>0.0</v>
      </c>
      <c r="E18" s="171">
        <v>0.0</v>
      </c>
      <c r="F18" s="172"/>
      <c r="G18" s="172"/>
      <c r="H18" s="168"/>
      <c r="I18" s="172"/>
      <c r="J18" s="169">
        <f t="shared" si="1"/>
        <v>0</v>
      </c>
    </row>
    <row r="19">
      <c r="A19" s="164">
        <v>15.0</v>
      </c>
      <c r="B19" s="221"/>
      <c r="C19" s="172"/>
      <c r="D19" s="171">
        <v>0.0</v>
      </c>
      <c r="E19" s="171">
        <v>0.0</v>
      </c>
      <c r="F19" s="172"/>
      <c r="G19" s="172"/>
      <c r="H19" s="168"/>
      <c r="I19" s="172"/>
      <c r="J19" s="169">
        <f t="shared" si="1"/>
        <v>0</v>
      </c>
    </row>
    <row r="20">
      <c r="A20" s="164">
        <v>16.0</v>
      </c>
      <c r="B20" s="221"/>
      <c r="C20" s="172"/>
      <c r="D20" s="171">
        <v>0.0</v>
      </c>
      <c r="E20" s="171">
        <v>0.0</v>
      </c>
      <c r="F20" s="172"/>
      <c r="G20" s="172"/>
      <c r="H20" s="168"/>
      <c r="I20" s="172"/>
      <c r="J20" s="169">
        <f t="shared" si="1"/>
        <v>0</v>
      </c>
    </row>
    <row r="21">
      <c r="A21" s="164">
        <v>17.0</v>
      </c>
      <c r="B21" s="221"/>
      <c r="C21" s="172"/>
      <c r="D21" s="171">
        <v>0.0</v>
      </c>
      <c r="E21" s="171">
        <v>0.0</v>
      </c>
      <c r="F21" s="172"/>
      <c r="G21" s="172"/>
      <c r="H21" s="168"/>
      <c r="I21" s="172"/>
      <c r="J21" s="169">
        <f t="shared" si="1"/>
        <v>0</v>
      </c>
    </row>
    <row r="22">
      <c r="A22" s="164">
        <v>18.0</v>
      </c>
      <c r="B22" s="221"/>
      <c r="C22" s="172"/>
      <c r="D22" s="171">
        <v>0.0</v>
      </c>
      <c r="E22" s="171">
        <v>0.0</v>
      </c>
      <c r="F22" s="172"/>
      <c r="G22" s="172"/>
      <c r="H22" s="168"/>
      <c r="I22" s="172"/>
      <c r="J22" s="169">
        <f t="shared" si="1"/>
        <v>0</v>
      </c>
    </row>
    <row r="23">
      <c r="A23" s="164">
        <v>19.0</v>
      </c>
      <c r="B23" s="221"/>
      <c r="C23" s="172"/>
      <c r="D23" s="171">
        <v>0.0</v>
      </c>
      <c r="E23" s="171">
        <v>0.0</v>
      </c>
      <c r="F23" s="172"/>
      <c r="G23" s="172"/>
      <c r="H23" s="168"/>
      <c r="I23" s="172"/>
      <c r="J23" s="169">
        <f t="shared" si="1"/>
        <v>0</v>
      </c>
    </row>
    <row r="24">
      <c r="A24" s="164">
        <v>20.0</v>
      </c>
      <c r="B24" s="221"/>
      <c r="C24" s="172"/>
      <c r="D24" s="171">
        <v>0.0</v>
      </c>
      <c r="E24" s="171">
        <v>0.0</v>
      </c>
      <c r="F24" s="172"/>
      <c r="G24" s="172"/>
      <c r="H24" s="168"/>
      <c r="I24" s="172"/>
      <c r="J24" s="169">
        <f t="shared" si="1"/>
        <v>0</v>
      </c>
    </row>
    <row r="25">
      <c r="A25" s="164">
        <v>21.0</v>
      </c>
      <c r="B25" s="221"/>
      <c r="C25" s="172"/>
      <c r="D25" s="171">
        <v>0.0</v>
      </c>
      <c r="E25" s="171">
        <v>0.0</v>
      </c>
      <c r="F25" s="172"/>
      <c r="G25" s="172"/>
      <c r="H25" s="168"/>
      <c r="I25" s="172"/>
      <c r="J25" s="169">
        <f t="shared" si="1"/>
        <v>0</v>
      </c>
    </row>
    <row r="26">
      <c r="A26" s="164">
        <v>22.0</v>
      </c>
      <c r="B26" s="221"/>
      <c r="C26" s="172"/>
      <c r="D26" s="171">
        <v>0.0</v>
      </c>
      <c r="E26" s="171">
        <v>0.0</v>
      </c>
      <c r="F26" s="172"/>
      <c r="G26" s="172"/>
      <c r="H26" s="168"/>
      <c r="I26" s="172"/>
      <c r="J26" s="169">
        <f t="shared" si="1"/>
        <v>0</v>
      </c>
    </row>
    <row r="27">
      <c r="A27" s="164">
        <v>23.0</v>
      </c>
      <c r="B27" s="221"/>
      <c r="C27" s="172"/>
      <c r="D27" s="171">
        <v>0.0</v>
      </c>
      <c r="E27" s="171">
        <v>0.0</v>
      </c>
      <c r="F27" s="172"/>
      <c r="G27" s="172"/>
      <c r="H27" s="168"/>
      <c r="I27" s="172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68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68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68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68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68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68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68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68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68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68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68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68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68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68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68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68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68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68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68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68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68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68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  <row r="82">
      <c r="A82" s="164">
        <v>78.0</v>
      </c>
      <c r="B82" s="168"/>
      <c r="C82" s="168"/>
      <c r="D82" s="171">
        <v>0.0</v>
      </c>
      <c r="E82" s="171">
        <v>0.0</v>
      </c>
      <c r="F82" s="168"/>
      <c r="G82" s="168"/>
      <c r="H82" s="168"/>
      <c r="I82" s="168"/>
      <c r="J82" s="169">
        <f t="shared" si="1"/>
        <v>0</v>
      </c>
    </row>
    <row r="83">
      <c r="A83" s="164">
        <v>79.0</v>
      </c>
      <c r="B83" s="168"/>
      <c r="C83" s="168"/>
      <c r="D83" s="171">
        <v>0.0</v>
      </c>
      <c r="E83" s="171">
        <v>0.0</v>
      </c>
      <c r="F83" s="168"/>
      <c r="G83" s="168"/>
      <c r="H83" s="168"/>
      <c r="I83" s="168"/>
      <c r="J83" s="169">
        <f t="shared" si="1"/>
        <v>0</v>
      </c>
    </row>
    <row r="84">
      <c r="A84" s="164">
        <v>80.0</v>
      </c>
      <c r="B84" s="168"/>
      <c r="C84" s="168"/>
      <c r="D84" s="171">
        <v>0.0</v>
      </c>
      <c r="E84" s="171">
        <v>0.0</v>
      </c>
      <c r="F84" s="168"/>
      <c r="G84" s="168"/>
      <c r="H84" s="168"/>
      <c r="I84" s="168"/>
      <c r="J84" s="169">
        <f t="shared" si="1"/>
        <v>0</v>
      </c>
    </row>
    <row r="85">
      <c r="A85" s="164">
        <v>81.0</v>
      </c>
      <c r="B85" s="168"/>
      <c r="C85" s="168"/>
      <c r="D85" s="171">
        <v>0.0</v>
      </c>
      <c r="E85" s="171">
        <v>0.0</v>
      </c>
      <c r="F85" s="168"/>
      <c r="G85" s="168"/>
      <c r="H85" s="168"/>
      <c r="I85" s="168"/>
      <c r="J85" s="169">
        <f t="shared" si="1"/>
        <v>0</v>
      </c>
    </row>
    <row r="86">
      <c r="A86" s="164">
        <v>82.0</v>
      </c>
      <c r="B86" s="168"/>
      <c r="C86" s="168"/>
      <c r="D86" s="171">
        <v>0.0</v>
      </c>
      <c r="E86" s="171">
        <v>0.0</v>
      </c>
      <c r="F86" s="168"/>
      <c r="G86" s="168"/>
      <c r="H86" s="168"/>
      <c r="I86" s="168"/>
      <c r="J86" s="169">
        <f t="shared" si="1"/>
        <v>0</v>
      </c>
    </row>
    <row r="87">
      <c r="A87" s="164">
        <v>83.0</v>
      </c>
      <c r="B87" s="168"/>
      <c r="C87" s="168"/>
      <c r="D87" s="171">
        <v>0.0</v>
      </c>
      <c r="E87" s="171">
        <v>0.0</v>
      </c>
      <c r="F87" s="168"/>
      <c r="G87" s="168"/>
      <c r="H87" s="168"/>
      <c r="I87" s="168"/>
      <c r="J87" s="169">
        <f t="shared" si="1"/>
        <v>0</v>
      </c>
    </row>
    <row r="88">
      <c r="A88" s="164">
        <v>84.0</v>
      </c>
      <c r="B88" s="168"/>
      <c r="C88" s="168"/>
      <c r="D88" s="171">
        <v>0.0</v>
      </c>
      <c r="E88" s="171">
        <v>0.0</v>
      </c>
      <c r="F88" s="168"/>
      <c r="G88" s="168"/>
      <c r="H88" s="168"/>
      <c r="I88" s="168"/>
      <c r="J88" s="169">
        <f t="shared" si="1"/>
        <v>0</v>
      </c>
    </row>
    <row r="89">
      <c r="A89" s="164">
        <v>85.0</v>
      </c>
      <c r="B89" s="168"/>
      <c r="C89" s="168"/>
      <c r="D89" s="171">
        <v>0.0</v>
      </c>
      <c r="E89" s="171">
        <v>0.0</v>
      </c>
      <c r="F89" s="168"/>
      <c r="G89" s="168"/>
      <c r="H89" s="168"/>
      <c r="I89" s="168"/>
      <c r="J89" s="169">
        <f t="shared" si="1"/>
        <v>0</v>
      </c>
    </row>
    <row r="90">
      <c r="A90" s="164">
        <v>86.0</v>
      </c>
      <c r="B90" s="168"/>
      <c r="C90" s="168"/>
      <c r="D90" s="171">
        <v>0.0</v>
      </c>
      <c r="E90" s="171">
        <v>0.0</v>
      </c>
      <c r="F90" s="168"/>
      <c r="G90" s="168"/>
      <c r="H90" s="168"/>
      <c r="I90" s="168"/>
      <c r="J90" s="169">
        <f t="shared" si="1"/>
        <v>0</v>
      </c>
    </row>
    <row r="91">
      <c r="A91" s="164">
        <v>87.0</v>
      </c>
      <c r="B91" s="168"/>
      <c r="C91" s="168"/>
      <c r="D91" s="171">
        <v>0.0</v>
      </c>
      <c r="E91" s="171">
        <v>0.0</v>
      </c>
      <c r="F91" s="168"/>
      <c r="G91" s="168"/>
      <c r="H91" s="168"/>
      <c r="I91" s="168"/>
      <c r="J91" s="169">
        <f t="shared" si="1"/>
        <v>0</v>
      </c>
    </row>
    <row r="92">
      <c r="A92" s="164">
        <v>88.0</v>
      </c>
      <c r="B92" s="168"/>
      <c r="C92" s="168"/>
      <c r="D92" s="171">
        <v>0.0</v>
      </c>
      <c r="E92" s="171">
        <v>0.0</v>
      </c>
      <c r="F92" s="168"/>
      <c r="G92" s="168"/>
      <c r="H92" s="168"/>
      <c r="I92" s="168"/>
      <c r="J92" s="169">
        <f t="shared" si="1"/>
        <v>0</v>
      </c>
    </row>
    <row r="93">
      <c r="A93" s="164">
        <v>89.0</v>
      </c>
      <c r="B93" s="168"/>
      <c r="C93" s="168"/>
      <c r="D93" s="171">
        <v>0.0</v>
      </c>
      <c r="E93" s="171">
        <v>0.0</v>
      </c>
      <c r="F93" s="168"/>
      <c r="G93" s="168"/>
      <c r="H93" s="168"/>
      <c r="I93" s="168"/>
      <c r="J93" s="169">
        <f t="shared" si="1"/>
        <v>0</v>
      </c>
    </row>
    <row r="94">
      <c r="A94" s="164">
        <v>90.0</v>
      </c>
      <c r="B94" s="168"/>
      <c r="C94" s="168"/>
      <c r="D94" s="171">
        <v>0.0</v>
      </c>
      <c r="E94" s="171">
        <v>0.0</v>
      </c>
      <c r="F94" s="168"/>
      <c r="G94" s="168"/>
      <c r="H94" s="168"/>
      <c r="I94" s="168"/>
      <c r="J94" s="169">
        <f t="shared" si="1"/>
        <v>0</v>
      </c>
    </row>
    <row r="95">
      <c r="A95" s="164">
        <v>91.0</v>
      </c>
      <c r="B95" s="168"/>
      <c r="C95" s="168"/>
      <c r="D95" s="171">
        <v>0.0</v>
      </c>
      <c r="E95" s="171">
        <v>0.0</v>
      </c>
      <c r="F95" s="168"/>
      <c r="G95" s="168"/>
      <c r="H95" s="168"/>
      <c r="I95" s="168"/>
      <c r="J95" s="169">
        <f t="shared" si="1"/>
        <v>0</v>
      </c>
    </row>
    <row r="96">
      <c r="A96" s="164">
        <v>92.0</v>
      </c>
      <c r="B96" s="168"/>
      <c r="C96" s="168"/>
      <c r="D96" s="171">
        <v>0.0</v>
      </c>
      <c r="E96" s="171">
        <v>0.0</v>
      </c>
      <c r="F96" s="168"/>
      <c r="G96" s="168"/>
      <c r="H96" s="168"/>
      <c r="I96" s="168"/>
      <c r="J96" s="169">
        <f t="shared" si="1"/>
        <v>0</v>
      </c>
    </row>
    <row r="97">
      <c r="A97" s="164">
        <v>93.0</v>
      </c>
      <c r="B97" s="168"/>
      <c r="C97" s="168"/>
      <c r="D97" s="171">
        <v>0.0</v>
      </c>
      <c r="E97" s="171">
        <v>0.0</v>
      </c>
      <c r="F97" s="168"/>
      <c r="G97" s="168"/>
      <c r="H97" s="168"/>
      <c r="I97" s="168"/>
      <c r="J97" s="169">
        <f t="shared" si="1"/>
        <v>0</v>
      </c>
    </row>
    <row r="98">
      <c r="A98" s="164">
        <v>94.0</v>
      </c>
      <c r="B98" s="168"/>
      <c r="C98" s="168"/>
      <c r="D98" s="171">
        <v>0.0</v>
      </c>
      <c r="E98" s="171">
        <v>0.0</v>
      </c>
      <c r="F98" s="168"/>
      <c r="G98" s="168"/>
      <c r="H98" s="168"/>
      <c r="I98" s="168"/>
      <c r="J98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 C93:C97 E93:E97">
    <cfRule type="containsText" dxfId="7" priority="1" operator="containsText" text="oui">
      <formula>NOT(ISERROR(SEARCH(("oui"),(F5))))</formula>
    </cfRule>
  </conditionalFormatting>
  <conditionalFormatting sqref="F5:F500 C93:C97 E93:E97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98">
      <formula1>"OUI,NON"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5" max="5" width="19.63"/>
    <col customWidth="1" min="10" max="10" width="14.13"/>
    <col customWidth="1" min="11" max="11" width="7.63"/>
    <col customWidth="1" min="12" max="12" width="31.5"/>
    <col customWidth="1" min="13" max="13" width="19.63"/>
    <col customWidth="1" min="14" max="14" width="18.88"/>
  </cols>
  <sheetData>
    <row r="1">
      <c r="A1" s="158" t="s">
        <v>205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206</v>
      </c>
      <c r="H3" s="174"/>
      <c r="I3" s="160"/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8"/>
      <c r="C5" s="168"/>
      <c r="D5" s="171">
        <v>0.0</v>
      </c>
      <c r="E5" s="171">
        <v>0.0</v>
      </c>
      <c r="F5" s="172"/>
      <c r="G5" s="172"/>
      <c r="H5" s="168"/>
      <c r="I5" s="168"/>
      <c r="J5" s="169">
        <f t="shared" ref="J5:J81" si="1">E5-D5</f>
        <v>0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  <c r="L6" s="222" t="s">
        <v>138</v>
      </c>
      <c r="M6" s="176"/>
    </row>
    <row r="7">
      <c r="A7" s="164">
        <v>3.0</v>
      </c>
      <c r="B7" s="168"/>
      <c r="C7" s="168"/>
      <c r="D7" s="171">
        <v>0.0</v>
      </c>
      <c r="E7" s="171">
        <v>0.0</v>
      </c>
      <c r="F7" s="172"/>
      <c r="G7" s="168"/>
      <c r="H7" s="168"/>
      <c r="I7" s="168"/>
      <c r="J7" s="169">
        <f t="shared" si="1"/>
        <v>0</v>
      </c>
      <c r="L7" s="223">
        <f>COUNTIF(F5:F81,"OUI")</f>
        <v>0</v>
      </c>
      <c r="M7" s="236" t="s">
        <v>207</v>
      </c>
    </row>
    <row r="8">
      <c r="A8" s="164">
        <v>4.0</v>
      </c>
      <c r="B8" s="168"/>
      <c r="C8" s="168"/>
      <c r="D8" s="171">
        <v>0.0</v>
      </c>
      <c r="E8" s="171">
        <v>0.0</v>
      </c>
      <c r="F8" s="172"/>
      <c r="G8" s="168"/>
      <c r="H8" s="168"/>
      <c r="I8" s="168"/>
      <c r="J8" s="169">
        <f t="shared" si="1"/>
        <v>0</v>
      </c>
      <c r="L8" s="176"/>
      <c r="M8" s="176"/>
    </row>
    <row r="9">
      <c r="A9" s="164">
        <v>5.0</v>
      </c>
      <c r="B9" s="168"/>
      <c r="C9" s="168"/>
      <c r="D9" s="171">
        <v>0.0</v>
      </c>
      <c r="E9" s="171">
        <v>0.0</v>
      </c>
      <c r="F9" s="172"/>
      <c r="G9" s="168"/>
      <c r="H9" s="168"/>
      <c r="I9" s="168"/>
      <c r="J9" s="169">
        <f t="shared" si="1"/>
        <v>0</v>
      </c>
      <c r="L9" s="222" t="s">
        <v>139</v>
      </c>
      <c r="M9" s="176"/>
    </row>
    <row r="10">
      <c r="A10" s="164">
        <v>6.0</v>
      </c>
      <c r="B10" s="168"/>
      <c r="C10" s="168"/>
      <c r="D10" s="171">
        <v>0.0</v>
      </c>
      <c r="E10" s="171">
        <v>0.0</v>
      </c>
      <c r="F10" s="172"/>
      <c r="G10" s="168"/>
      <c r="H10" s="168"/>
      <c r="I10" s="168"/>
      <c r="J10" s="169">
        <f t="shared" si="1"/>
        <v>0</v>
      </c>
      <c r="L10" s="225">
        <f>COUNTIF(F5:F84,"NON")+L7</f>
        <v>0</v>
      </c>
      <c r="M10" s="176"/>
    </row>
    <row r="11">
      <c r="A11" s="164">
        <v>7.0</v>
      </c>
      <c r="B11" s="168"/>
      <c r="C11" s="168"/>
      <c r="D11" s="171">
        <v>0.0</v>
      </c>
      <c r="E11" s="171">
        <v>0.0</v>
      </c>
      <c r="F11" s="172"/>
      <c r="G11" s="168"/>
      <c r="H11" s="168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72"/>
      <c r="G12" s="168"/>
      <c r="H12" s="168"/>
      <c r="I12" s="168"/>
      <c r="J12" s="169">
        <f t="shared" si="1"/>
        <v>0</v>
      </c>
      <c r="O12" s="176"/>
    </row>
    <row r="13">
      <c r="A13" s="164">
        <v>9.0</v>
      </c>
      <c r="B13" s="168"/>
      <c r="C13" s="168"/>
      <c r="D13" s="171">
        <v>0.0</v>
      </c>
      <c r="E13" s="171">
        <v>0.0</v>
      </c>
      <c r="F13" s="172"/>
      <c r="G13" s="168"/>
      <c r="H13" s="168"/>
      <c r="I13" s="168"/>
      <c r="J13" s="169">
        <f t="shared" si="1"/>
        <v>0</v>
      </c>
      <c r="O13" s="176"/>
    </row>
    <row r="14">
      <c r="A14" s="164">
        <v>10.0</v>
      </c>
      <c r="B14" s="168"/>
      <c r="C14" s="168"/>
      <c r="D14" s="171">
        <v>0.0</v>
      </c>
      <c r="E14" s="171">
        <v>0.0</v>
      </c>
      <c r="F14" s="172"/>
      <c r="G14" s="168"/>
      <c r="H14" s="168"/>
      <c r="I14" s="168"/>
      <c r="J14" s="169">
        <f t="shared" si="1"/>
        <v>0</v>
      </c>
      <c r="O14" s="176"/>
    </row>
    <row r="15">
      <c r="A15" s="164">
        <v>11.0</v>
      </c>
      <c r="B15" s="168"/>
      <c r="C15" s="168"/>
      <c r="D15" s="171">
        <v>0.0</v>
      </c>
      <c r="E15" s="171">
        <v>0.0</v>
      </c>
      <c r="F15" s="172"/>
      <c r="G15" s="168"/>
      <c r="H15" s="168"/>
      <c r="I15" s="168"/>
      <c r="J15" s="169">
        <f t="shared" si="1"/>
        <v>0</v>
      </c>
      <c r="L15" s="176"/>
      <c r="M15" s="176"/>
      <c r="N15" s="176"/>
      <c r="O15" s="176"/>
    </row>
    <row r="16">
      <c r="A16" s="164">
        <v>12.0</v>
      </c>
      <c r="B16" s="168"/>
      <c r="C16" s="168"/>
      <c r="D16" s="171">
        <v>0.0</v>
      </c>
      <c r="E16" s="171">
        <v>0.0</v>
      </c>
      <c r="F16" s="172"/>
      <c r="G16" s="168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72"/>
      <c r="G17" s="168"/>
      <c r="H17" s="168"/>
      <c r="I17" s="168"/>
      <c r="J17" s="169">
        <f t="shared" si="1"/>
        <v>0</v>
      </c>
      <c r="L17" s="177">
        <f>COUNTA(F5:F92)</f>
        <v>0</v>
      </c>
      <c r="M17" s="177">
        <f>COUNTIF(F5:F93,"non")</f>
        <v>0</v>
      </c>
      <c r="N17" s="177">
        <f>COUNTIF(F5:F92,"oui")</f>
        <v>0</v>
      </c>
      <c r="O17" s="17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72"/>
      <c r="G18" s="168"/>
      <c r="H18" s="168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72"/>
      <c r="G19" s="168"/>
      <c r="H19" s="168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72"/>
      <c r="G20" s="168"/>
      <c r="H20" s="168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72"/>
      <c r="G21" s="168"/>
      <c r="H21" s="168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72"/>
      <c r="G22" s="168"/>
      <c r="H22" s="168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72"/>
      <c r="G23" s="168"/>
      <c r="H23" s="168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72"/>
      <c r="G24" s="168"/>
      <c r="H24" s="168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72"/>
      <c r="G25" s="168"/>
      <c r="H25" s="168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72"/>
      <c r="G26" s="168"/>
      <c r="H26" s="168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72"/>
      <c r="G27" s="168"/>
      <c r="H27" s="168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72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72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72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72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72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72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72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72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72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72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72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72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72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72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72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72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72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72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72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72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72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72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72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72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72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72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72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72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72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72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72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72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72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72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72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72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72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72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72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72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72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72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72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72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72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72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72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72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72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72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72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81 F100:F500">
    <cfRule type="containsText" dxfId="7" priority="1" operator="containsText" text="oui">
      <formula>NOT(ISERROR(SEARCH(("oui"),(F5))))</formula>
    </cfRule>
  </conditionalFormatting>
  <conditionalFormatting sqref="F5:F81 F100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3.88"/>
    <col customWidth="1" min="10" max="16" width="15.63"/>
    <col customWidth="1" min="18" max="18" width="29.88"/>
    <col customWidth="1" min="19" max="19" width="20.5"/>
    <col customWidth="1" min="20" max="20" width="19.75"/>
  </cols>
  <sheetData>
    <row r="1">
      <c r="A1" s="158" t="s">
        <v>208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05"/>
    </row>
    <row r="2" ht="21.75" customHeigh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209</v>
      </c>
      <c r="H3" s="162" t="s">
        <v>210</v>
      </c>
      <c r="I3" s="162" t="s">
        <v>211</v>
      </c>
      <c r="J3" s="237" t="s">
        <v>212</v>
      </c>
      <c r="K3" s="237" t="s">
        <v>213</v>
      </c>
      <c r="L3" s="237" t="s">
        <v>214</v>
      </c>
      <c r="M3" s="237" t="s">
        <v>215</v>
      </c>
      <c r="N3" s="237" t="s">
        <v>216</v>
      </c>
      <c r="O3" s="237" t="s">
        <v>217</v>
      </c>
      <c r="P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</row>
    <row r="5">
      <c r="A5" s="164">
        <v>1.0</v>
      </c>
      <c r="B5" s="168"/>
      <c r="C5" s="168"/>
      <c r="D5" s="171">
        <v>0.0</v>
      </c>
      <c r="E5" s="171">
        <v>0.0</v>
      </c>
      <c r="F5" s="166"/>
      <c r="G5" s="168"/>
      <c r="H5" s="168"/>
      <c r="I5" s="168"/>
      <c r="J5" s="194"/>
      <c r="K5" s="194"/>
      <c r="L5" s="194"/>
      <c r="M5" s="194"/>
      <c r="N5" s="194"/>
      <c r="O5" s="194"/>
      <c r="P5" s="169">
        <f t="shared" ref="P5:P81" si="1">E5-D5</f>
        <v>0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66"/>
      <c r="G6" s="168"/>
      <c r="H6" s="168"/>
      <c r="I6" s="168"/>
      <c r="J6" s="194"/>
      <c r="K6" s="194"/>
      <c r="L6" s="194"/>
      <c r="M6" s="194"/>
      <c r="N6" s="194"/>
      <c r="O6" s="194"/>
      <c r="P6" s="169">
        <f t="shared" si="1"/>
        <v>0</v>
      </c>
    </row>
    <row r="7">
      <c r="A7" s="164">
        <v>3.0</v>
      </c>
      <c r="B7" s="168"/>
      <c r="C7" s="168"/>
      <c r="D7" s="171">
        <v>0.0</v>
      </c>
      <c r="E7" s="171">
        <v>0.0</v>
      </c>
      <c r="F7" s="172"/>
      <c r="G7" s="168"/>
      <c r="H7" s="168"/>
      <c r="I7" s="168"/>
      <c r="J7" s="194"/>
      <c r="K7" s="194"/>
      <c r="L7" s="194"/>
      <c r="M7" s="194"/>
      <c r="N7" s="194"/>
      <c r="O7" s="194"/>
      <c r="P7" s="169">
        <f t="shared" si="1"/>
        <v>0</v>
      </c>
    </row>
    <row r="8">
      <c r="A8" s="164">
        <v>4.0</v>
      </c>
      <c r="B8" s="168"/>
      <c r="C8" s="168"/>
      <c r="D8" s="171">
        <v>0.0</v>
      </c>
      <c r="E8" s="171">
        <v>0.0</v>
      </c>
      <c r="F8" s="172"/>
      <c r="G8" s="168"/>
      <c r="H8" s="168"/>
      <c r="I8" s="168"/>
      <c r="J8" s="194"/>
      <c r="K8" s="194"/>
      <c r="L8" s="194"/>
      <c r="M8" s="194"/>
      <c r="N8" s="194"/>
      <c r="O8" s="194"/>
      <c r="P8" s="169">
        <f t="shared" si="1"/>
        <v>0</v>
      </c>
    </row>
    <row r="9">
      <c r="A9" s="164">
        <v>5.0</v>
      </c>
      <c r="B9" s="168"/>
      <c r="C9" s="168"/>
      <c r="D9" s="171">
        <v>0.0</v>
      </c>
      <c r="E9" s="171">
        <v>0.0</v>
      </c>
      <c r="F9" s="172"/>
      <c r="G9" s="168"/>
      <c r="H9" s="168"/>
      <c r="I9" s="168"/>
      <c r="J9" s="194"/>
      <c r="K9" s="194"/>
      <c r="L9" s="194"/>
      <c r="M9" s="194"/>
      <c r="N9" s="194"/>
      <c r="O9" s="194"/>
      <c r="P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72"/>
      <c r="G10" s="168"/>
      <c r="H10" s="168"/>
      <c r="I10" s="168"/>
      <c r="J10" s="194"/>
      <c r="K10" s="194"/>
      <c r="L10" s="194"/>
      <c r="M10" s="194"/>
      <c r="N10" s="194"/>
      <c r="O10" s="194"/>
      <c r="P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72"/>
      <c r="G11" s="168"/>
      <c r="H11" s="168"/>
      <c r="I11" s="168"/>
      <c r="J11" s="194"/>
      <c r="K11" s="194"/>
      <c r="L11" s="194"/>
      <c r="M11" s="194"/>
      <c r="N11" s="194"/>
      <c r="O11" s="194"/>
      <c r="P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72"/>
      <c r="G12" s="168"/>
      <c r="H12" s="168"/>
      <c r="I12" s="168"/>
      <c r="J12" s="194"/>
      <c r="K12" s="194"/>
      <c r="L12" s="194"/>
      <c r="M12" s="194"/>
      <c r="N12" s="194"/>
      <c r="O12" s="194"/>
      <c r="P12" s="169">
        <f t="shared" si="1"/>
        <v>0</v>
      </c>
    </row>
    <row r="13">
      <c r="A13" s="164">
        <v>9.0</v>
      </c>
      <c r="B13" s="168"/>
      <c r="C13" s="168"/>
      <c r="D13" s="171">
        <v>0.0</v>
      </c>
      <c r="E13" s="171">
        <v>0.0</v>
      </c>
      <c r="F13" s="172"/>
      <c r="G13" s="168"/>
      <c r="H13" s="168"/>
      <c r="I13" s="168"/>
      <c r="J13" s="194"/>
      <c r="K13" s="194"/>
      <c r="L13" s="194"/>
      <c r="M13" s="194"/>
      <c r="N13" s="194"/>
      <c r="O13" s="194"/>
      <c r="P13" s="169">
        <f t="shared" si="1"/>
        <v>0</v>
      </c>
    </row>
    <row r="14">
      <c r="A14" s="164">
        <v>10.0</v>
      </c>
      <c r="B14" s="168"/>
      <c r="C14" s="168"/>
      <c r="D14" s="171">
        <v>0.0</v>
      </c>
      <c r="E14" s="171">
        <v>0.0</v>
      </c>
      <c r="F14" s="172"/>
      <c r="G14" s="168"/>
      <c r="H14" s="168"/>
      <c r="I14" s="168"/>
      <c r="J14" s="194"/>
      <c r="K14" s="194"/>
      <c r="L14" s="194"/>
      <c r="M14" s="194"/>
      <c r="N14" s="194"/>
      <c r="O14" s="194"/>
      <c r="P14" s="169">
        <f t="shared" si="1"/>
        <v>0</v>
      </c>
    </row>
    <row r="15">
      <c r="A15" s="164">
        <v>11.0</v>
      </c>
      <c r="B15" s="168"/>
      <c r="C15" s="168"/>
      <c r="D15" s="171">
        <v>0.0</v>
      </c>
      <c r="E15" s="171">
        <v>0.0</v>
      </c>
      <c r="F15" s="172"/>
      <c r="G15" s="168"/>
      <c r="H15" s="168"/>
      <c r="I15" s="168"/>
      <c r="J15" s="194"/>
      <c r="K15" s="194"/>
      <c r="L15" s="194"/>
      <c r="M15" s="194"/>
      <c r="N15" s="194"/>
      <c r="O15" s="194"/>
      <c r="P15" s="169">
        <f t="shared" si="1"/>
        <v>0</v>
      </c>
    </row>
    <row r="16">
      <c r="A16" s="164">
        <v>12.0</v>
      </c>
      <c r="B16" s="168"/>
      <c r="C16" s="168"/>
      <c r="D16" s="171">
        <v>0.0</v>
      </c>
      <c r="E16" s="171">
        <v>0.0</v>
      </c>
      <c r="F16" s="172"/>
      <c r="G16" s="168"/>
      <c r="H16" s="168"/>
      <c r="I16" s="168"/>
      <c r="J16" s="194"/>
      <c r="K16" s="194"/>
      <c r="L16" s="194"/>
      <c r="M16" s="194"/>
      <c r="N16" s="194"/>
      <c r="O16" s="194"/>
      <c r="P16" s="169">
        <f t="shared" si="1"/>
        <v>0</v>
      </c>
      <c r="R16" s="73" t="s">
        <v>129</v>
      </c>
      <c r="S16" s="73" t="s">
        <v>130</v>
      </c>
      <c r="T16" s="73" t="s">
        <v>131</v>
      </c>
      <c r="U16" s="73" t="s">
        <v>132</v>
      </c>
      <c r="V16" s="73" t="s">
        <v>133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72"/>
      <c r="G17" s="168"/>
      <c r="H17" s="168"/>
      <c r="I17" s="168"/>
      <c r="J17" s="194"/>
      <c r="K17" s="194"/>
      <c r="L17" s="194"/>
      <c r="M17" s="194"/>
      <c r="N17" s="194"/>
      <c r="O17" s="194"/>
      <c r="P17" s="169">
        <f t="shared" si="1"/>
        <v>0</v>
      </c>
      <c r="R17" s="137">
        <f>COUNTA(F5:F92)</f>
        <v>0</v>
      </c>
      <c r="S17" s="138">
        <f>COUNTIF(F5:F93,"non")</f>
        <v>0</v>
      </c>
      <c r="T17" s="138">
        <f>COUNTIF(F5:F92,"oui")</f>
        <v>0</v>
      </c>
      <c r="U17" s="137" t="str">
        <f>(R17-S17)/R17</f>
        <v>#DIV/0!</v>
      </c>
      <c r="V17" s="139" t="str">
        <f>AVERAGEIF(P$5:P$200,"&lt;&gt;0")</f>
        <v>#DIV/0!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72"/>
      <c r="G18" s="168"/>
      <c r="H18" s="168"/>
      <c r="I18" s="168"/>
      <c r="J18" s="194"/>
      <c r="K18" s="194"/>
      <c r="L18" s="194"/>
      <c r="M18" s="194"/>
      <c r="N18" s="194"/>
      <c r="O18" s="194"/>
      <c r="P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72"/>
      <c r="G19" s="168"/>
      <c r="H19" s="168"/>
      <c r="I19" s="168"/>
      <c r="J19" s="194"/>
      <c r="K19" s="194"/>
      <c r="L19" s="194"/>
      <c r="M19" s="194"/>
      <c r="N19" s="194"/>
      <c r="O19" s="194"/>
      <c r="P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72"/>
      <c r="G20" s="168"/>
      <c r="H20" s="168"/>
      <c r="I20" s="168"/>
      <c r="J20" s="194"/>
      <c r="K20" s="194"/>
      <c r="L20" s="194"/>
      <c r="M20" s="194"/>
      <c r="N20" s="194"/>
      <c r="O20" s="194"/>
      <c r="P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72"/>
      <c r="G21" s="168"/>
      <c r="H21" s="168"/>
      <c r="I21" s="168"/>
      <c r="J21" s="194"/>
      <c r="K21" s="194"/>
      <c r="L21" s="194"/>
      <c r="M21" s="194"/>
      <c r="N21" s="194"/>
      <c r="O21" s="194"/>
      <c r="P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72"/>
      <c r="G22" s="168"/>
      <c r="H22" s="168"/>
      <c r="I22" s="168"/>
      <c r="J22" s="194"/>
      <c r="K22" s="194"/>
      <c r="L22" s="194"/>
      <c r="M22" s="194"/>
      <c r="N22" s="194"/>
      <c r="O22" s="194"/>
      <c r="P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72"/>
      <c r="G23" s="168"/>
      <c r="H23" s="168"/>
      <c r="I23" s="168"/>
      <c r="J23" s="194"/>
      <c r="K23" s="194"/>
      <c r="L23" s="194"/>
      <c r="M23" s="194"/>
      <c r="N23" s="194"/>
      <c r="O23" s="194"/>
      <c r="P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72"/>
      <c r="G24" s="168"/>
      <c r="H24" s="168"/>
      <c r="I24" s="168"/>
      <c r="J24" s="194"/>
      <c r="K24" s="194"/>
      <c r="L24" s="194"/>
      <c r="M24" s="194"/>
      <c r="N24" s="194"/>
      <c r="O24" s="194"/>
      <c r="P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72"/>
      <c r="G25" s="168"/>
      <c r="H25" s="168"/>
      <c r="I25" s="168"/>
      <c r="J25" s="194"/>
      <c r="K25" s="194"/>
      <c r="L25" s="194"/>
      <c r="M25" s="194"/>
      <c r="N25" s="194"/>
      <c r="O25" s="194"/>
      <c r="P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72"/>
      <c r="G26" s="168"/>
      <c r="H26" s="168"/>
      <c r="I26" s="168"/>
      <c r="J26" s="194"/>
      <c r="K26" s="194"/>
      <c r="L26" s="194"/>
      <c r="M26" s="194"/>
      <c r="N26" s="194"/>
      <c r="O26" s="194"/>
      <c r="P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72"/>
      <c r="G27" s="168"/>
      <c r="H27" s="168"/>
      <c r="I27" s="168"/>
      <c r="J27" s="194"/>
      <c r="K27" s="194"/>
      <c r="L27" s="194"/>
      <c r="M27" s="194"/>
      <c r="N27" s="194"/>
      <c r="O27" s="194"/>
      <c r="P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72"/>
      <c r="G28" s="168"/>
      <c r="H28" s="168"/>
      <c r="I28" s="168"/>
      <c r="J28" s="194"/>
      <c r="K28" s="194"/>
      <c r="L28" s="194"/>
      <c r="M28" s="194"/>
      <c r="N28" s="194"/>
      <c r="O28" s="194"/>
      <c r="P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72"/>
      <c r="G29" s="168"/>
      <c r="H29" s="168"/>
      <c r="I29" s="168"/>
      <c r="J29" s="194"/>
      <c r="K29" s="194"/>
      <c r="L29" s="194"/>
      <c r="M29" s="194"/>
      <c r="N29" s="194"/>
      <c r="O29" s="194"/>
      <c r="P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72"/>
      <c r="G30" s="168"/>
      <c r="H30" s="168"/>
      <c r="I30" s="168"/>
      <c r="J30" s="194"/>
      <c r="K30" s="194"/>
      <c r="L30" s="194"/>
      <c r="M30" s="194"/>
      <c r="N30" s="194"/>
      <c r="O30" s="194"/>
      <c r="P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72"/>
      <c r="G31" s="168"/>
      <c r="H31" s="168"/>
      <c r="I31" s="168"/>
      <c r="J31" s="194"/>
      <c r="K31" s="194"/>
      <c r="L31" s="194"/>
      <c r="M31" s="194"/>
      <c r="N31" s="194"/>
      <c r="O31" s="194"/>
      <c r="P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72"/>
      <c r="G32" s="168"/>
      <c r="H32" s="168"/>
      <c r="I32" s="168"/>
      <c r="J32" s="194"/>
      <c r="K32" s="194"/>
      <c r="L32" s="194"/>
      <c r="M32" s="194"/>
      <c r="N32" s="194"/>
      <c r="O32" s="194"/>
      <c r="P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72"/>
      <c r="G33" s="168"/>
      <c r="H33" s="168"/>
      <c r="I33" s="168"/>
      <c r="J33" s="194"/>
      <c r="K33" s="194"/>
      <c r="L33" s="194"/>
      <c r="M33" s="194"/>
      <c r="N33" s="194"/>
      <c r="O33" s="194"/>
      <c r="P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72"/>
      <c r="G34" s="168"/>
      <c r="H34" s="168"/>
      <c r="I34" s="168"/>
      <c r="J34" s="194"/>
      <c r="K34" s="194"/>
      <c r="L34" s="194"/>
      <c r="M34" s="194"/>
      <c r="N34" s="194"/>
      <c r="O34" s="194"/>
      <c r="P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72"/>
      <c r="G35" s="168"/>
      <c r="H35" s="168"/>
      <c r="I35" s="168"/>
      <c r="J35" s="194"/>
      <c r="K35" s="194"/>
      <c r="L35" s="194"/>
      <c r="M35" s="194"/>
      <c r="N35" s="194"/>
      <c r="O35" s="194"/>
      <c r="P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72"/>
      <c r="G36" s="168"/>
      <c r="H36" s="168"/>
      <c r="I36" s="168"/>
      <c r="J36" s="194"/>
      <c r="K36" s="194"/>
      <c r="L36" s="194"/>
      <c r="M36" s="194"/>
      <c r="N36" s="194"/>
      <c r="O36" s="194"/>
      <c r="P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72"/>
      <c r="G37" s="168"/>
      <c r="H37" s="168"/>
      <c r="I37" s="168"/>
      <c r="J37" s="194"/>
      <c r="K37" s="194"/>
      <c r="L37" s="194"/>
      <c r="M37" s="194"/>
      <c r="N37" s="194"/>
      <c r="O37" s="194"/>
      <c r="P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72"/>
      <c r="G38" s="168"/>
      <c r="H38" s="168"/>
      <c r="I38" s="168"/>
      <c r="J38" s="194"/>
      <c r="K38" s="194"/>
      <c r="L38" s="194"/>
      <c r="M38" s="194"/>
      <c r="N38" s="194"/>
      <c r="O38" s="194"/>
      <c r="P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72"/>
      <c r="G39" s="168"/>
      <c r="H39" s="168"/>
      <c r="I39" s="168"/>
      <c r="J39" s="194"/>
      <c r="K39" s="194"/>
      <c r="L39" s="194"/>
      <c r="M39" s="194"/>
      <c r="N39" s="194"/>
      <c r="O39" s="194"/>
      <c r="P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72"/>
      <c r="G40" s="168"/>
      <c r="H40" s="168"/>
      <c r="I40" s="168"/>
      <c r="J40" s="194"/>
      <c r="K40" s="194"/>
      <c r="L40" s="194"/>
      <c r="M40" s="194"/>
      <c r="N40" s="194"/>
      <c r="O40" s="194"/>
      <c r="P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72"/>
      <c r="G41" s="168"/>
      <c r="H41" s="168"/>
      <c r="I41" s="168"/>
      <c r="J41" s="194"/>
      <c r="K41" s="194"/>
      <c r="L41" s="194"/>
      <c r="M41" s="194"/>
      <c r="N41" s="194"/>
      <c r="O41" s="194"/>
      <c r="P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72"/>
      <c r="G42" s="168"/>
      <c r="H42" s="168"/>
      <c r="I42" s="168"/>
      <c r="J42" s="194"/>
      <c r="K42" s="194"/>
      <c r="L42" s="194"/>
      <c r="M42" s="194"/>
      <c r="N42" s="194"/>
      <c r="O42" s="194"/>
      <c r="P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72"/>
      <c r="G43" s="168"/>
      <c r="H43" s="168"/>
      <c r="I43" s="168"/>
      <c r="J43" s="194"/>
      <c r="K43" s="194"/>
      <c r="L43" s="194"/>
      <c r="M43" s="194"/>
      <c r="N43" s="194"/>
      <c r="O43" s="194"/>
      <c r="P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72"/>
      <c r="G44" s="168"/>
      <c r="H44" s="168"/>
      <c r="I44" s="168"/>
      <c r="J44" s="194"/>
      <c r="K44" s="194"/>
      <c r="L44" s="194"/>
      <c r="M44" s="194"/>
      <c r="N44" s="194"/>
      <c r="O44" s="194"/>
      <c r="P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72"/>
      <c r="G45" s="168"/>
      <c r="H45" s="168"/>
      <c r="I45" s="168"/>
      <c r="J45" s="194"/>
      <c r="K45" s="194"/>
      <c r="L45" s="194"/>
      <c r="M45" s="194"/>
      <c r="N45" s="194"/>
      <c r="O45" s="194"/>
      <c r="P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72"/>
      <c r="G46" s="168"/>
      <c r="H46" s="168"/>
      <c r="I46" s="168"/>
      <c r="J46" s="194"/>
      <c r="K46" s="194"/>
      <c r="L46" s="194"/>
      <c r="M46" s="194"/>
      <c r="N46" s="194"/>
      <c r="O46" s="194"/>
      <c r="P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72"/>
      <c r="G47" s="168"/>
      <c r="H47" s="168"/>
      <c r="I47" s="168"/>
      <c r="J47" s="194"/>
      <c r="K47" s="194"/>
      <c r="L47" s="194"/>
      <c r="M47" s="194"/>
      <c r="N47" s="194"/>
      <c r="O47" s="194"/>
      <c r="P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72"/>
      <c r="G48" s="168"/>
      <c r="H48" s="168"/>
      <c r="I48" s="168"/>
      <c r="J48" s="194"/>
      <c r="K48" s="194"/>
      <c r="L48" s="194"/>
      <c r="M48" s="194"/>
      <c r="N48" s="194"/>
      <c r="O48" s="194"/>
      <c r="P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72"/>
      <c r="G49" s="168"/>
      <c r="H49" s="168"/>
      <c r="I49" s="168"/>
      <c r="J49" s="194"/>
      <c r="K49" s="194"/>
      <c r="L49" s="194"/>
      <c r="M49" s="194"/>
      <c r="N49" s="194"/>
      <c r="O49" s="194"/>
      <c r="P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94"/>
      <c r="K50" s="194"/>
      <c r="L50" s="194"/>
      <c r="M50" s="194"/>
      <c r="N50" s="194"/>
      <c r="O50" s="194"/>
      <c r="P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94"/>
      <c r="K51" s="194"/>
      <c r="L51" s="194"/>
      <c r="M51" s="194"/>
      <c r="N51" s="194"/>
      <c r="O51" s="194"/>
      <c r="P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94"/>
      <c r="K52" s="194"/>
      <c r="L52" s="194"/>
      <c r="M52" s="194"/>
      <c r="N52" s="194"/>
      <c r="O52" s="194"/>
      <c r="P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94"/>
      <c r="K53" s="194"/>
      <c r="L53" s="194"/>
      <c r="M53" s="194"/>
      <c r="N53" s="194"/>
      <c r="O53" s="194"/>
      <c r="P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94"/>
      <c r="K54" s="194"/>
      <c r="L54" s="194"/>
      <c r="M54" s="194"/>
      <c r="N54" s="194"/>
      <c r="O54" s="194"/>
      <c r="P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94"/>
      <c r="K55" s="194"/>
      <c r="L55" s="194"/>
      <c r="M55" s="194"/>
      <c r="N55" s="194"/>
      <c r="O55" s="194"/>
      <c r="P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94"/>
      <c r="K56" s="194"/>
      <c r="L56" s="194"/>
      <c r="M56" s="194"/>
      <c r="N56" s="194"/>
      <c r="O56" s="194"/>
      <c r="P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94"/>
      <c r="K57" s="194"/>
      <c r="L57" s="194"/>
      <c r="M57" s="194"/>
      <c r="N57" s="194"/>
      <c r="O57" s="194"/>
      <c r="P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94"/>
      <c r="K58" s="194"/>
      <c r="L58" s="194"/>
      <c r="M58" s="194"/>
      <c r="N58" s="194"/>
      <c r="O58" s="194"/>
      <c r="P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94"/>
      <c r="K59" s="194"/>
      <c r="L59" s="194"/>
      <c r="M59" s="194"/>
      <c r="N59" s="194"/>
      <c r="O59" s="194"/>
      <c r="P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94"/>
      <c r="K60" s="194"/>
      <c r="L60" s="194"/>
      <c r="M60" s="194"/>
      <c r="N60" s="194"/>
      <c r="O60" s="194"/>
      <c r="P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94"/>
      <c r="K61" s="194"/>
      <c r="L61" s="194"/>
      <c r="M61" s="194"/>
      <c r="N61" s="194"/>
      <c r="O61" s="194"/>
      <c r="P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94"/>
      <c r="K62" s="194"/>
      <c r="L62" s="194"/>
      <c r="M62" s="194"/>
      <c r="N62" s="194"/>
      <c r="O62" s="194"/>
      <c r="P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94"/>
      <c r="K63" s="194"/>
      <c r="L63" s="194"/>
      <c r="M63" s="194"/>
      <c r="N63" s="194"/>
      <c r="O63" s="194"/>
      <c r="P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94"/>
      <c r="K64" s="194"/>
      <c r="L64" s="194"/>
      <c r="M64" s="194"/>
      <c r="N64" s="194"/>
      <c r="O64" s="194"/>
      <c r="P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94"/>
      <c r="K65" s="194"/>
      <c r="L65" s="194"/>
      <c r="M65" s="194"/>
      <c r="N65" s="194"/>
      <c r="O65" s="194"/>
      <c r="P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94"/>
      <c r="K66" s="194"/>
      <c r="L66" s="194"/>
      <c r="M66" s="194"/>
      <c r="N66" s="194"/>
      <c r="O66" s="194"/>
      <c r="P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94"/>
      <c r="K67" s="194"/>
      <c r="L67" s="194"/>
      <c r="M67" s="194"/>
      <c r="N67" s="194"/>
      <c r="O67" s="194"/>
      <c r="P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94"/>
      <c r="K68" s="194"/>
      <c r="L68" s="194"/>
      <c r="M68" s="194"/>
      <c r="N68" s="194"/>
      <c r="O68" s="194"/>
      <c r="P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94"/>
      <c r="K69" s="194"/>
      <c r="L69" s="194"/>
      <c r="M69" s="194"/>
      <c r="N69" s="194"/>
      <c r="O69" s="194"/>
      <c r="P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94"/>
      <c r="K70" s="194"/>
      <c r="L70" s="194"/>
      <c r="M70" s="194"/>
      <c r="N70" s="194"/>
      <c r="O70" s="194"/>
      <c r="P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94"/>
      <c r="K71" s="194"/>
      <c r="L71" s="194"/>
      <c r="M71" s="194"/>
      <c r="N71" s="194"/>
      <c r="O71" s="194"/>
      <c r="P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94"/>
      <c r="K72" s="194"/>
      <c r="L72" s="194"/>
      <c r="M72" s="194"/>
      <c r="N72" s="194"/>
      <c r="O72" s="194"/>
      <c r="P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94"/>
      <c r="K73" s="194"/>
      <c r="L73" s="194"/>
      <c r="M73" s="194"/>
      <c r="N73" s="194"/>
      <c r="O73" s="194"/>
      <c r="P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94"/>
      <c r="K74" s="194"/>
      <c r="L74" s="194"/>
      <c r="M74" s="194"/>
      <c r="N74" s="194"/>
      <c r="O74" s="194"/>
      <c r="P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94"/>
      <c r="K75" s="194"/>
      <c r="L75" s="194"/>
      <c r="M75" s="194"/>
      <c r="N75" s="194"/>
      <c r="O75" s="194"/>
      <c r="P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94"/>
      <c r="K76" s="194"/>
      <c r="L76" s="194"/>
      <c r="M76" s="194"/>
      <c r="N76" s="194"/>
      <c r="O76" s="194"/>
      <c r="P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94"/>
      <c r="K77" s="194"/>
      <c r="L77" s="194"/>
      <c r="M77" s="194"/>
      <c r="N77" s="194"/>
      <c r="O77" s="194"/>
      <c r="P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94"/>
      <c r="K78" s="194"/>
      <c r="L78" s="194"/>
      <c r="M78" s="194"/>
      <c r="N78" s="194"/>
      <c r="O78" s="194"/>
      <c r="P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94"/>
      <c r="K79" s="194"/>
      <c r="L79" s="194"/>
      <c r="M79" s="194"/>
      <c r="N79" s="194"/>
      <c r="O79" s="194"/>
      <c r="P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94"/>
      <c r="K80" s="194"/>
      <c r="L80" s="194"/>
      <c r="M80" s="194"/>
      <c r="N80" s="194"/>
      <c r="O80" s="194"/>
      <c r="P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94"/>
      <c r="K81" s="194"/>
      <c r="L81" s="194"/>
      <c r="M81" s="194"/>
      <c r="N81" s="194"/>
      <c r="O81" s="194"/>
      <c r="P81" s="169">
        <f t="shared" si="1"/>
        <v>0</v>
      </c>
    </row>
  </sheetData>
  <mergeCells count="1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A1:P2"/>
    <mergeCell ref="A3:A4"/>
    <mergeCell ref="B3:B4"/>
    <mergeCell ref="C3:C4"/>
    <mergeCell ref="D3:D4"/>
    <mergeCell ref="E3:E4"/>
    <mergeCell ref="F3:F4"/>
  </mergeCells>
  <conditionalFormatting sqref="F5:F500 D54:D96">
    <cfRule type="containsText" dxfId="7" priority="1" operator="containsText" text="oui">
      <formula>NOT(ISERROR(SEARCH(("oui"),(F5))))</formula>
    </cfRule>
  </conditionalFormatting>
  <conditionalFormatting sqref="F5:F500 D54:D96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81">
      <formula1>"OUI,NON"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5" max="5" width="16.38"/>
    <col customWidth="1" min="10" max="10" width="14.0"/>
    <col customWidth="1" min="11" max="11" width="13.63"/>
    <col customWidth="1" min="12" max="12" width="31.5"/>
    <col customWidth="1" min="13" max="13" width="18.75"/>
    <col customWidth="1" min="14" max="14" width="19.5"/>
  </cols>
  <sheetData>
    <row r="1">
      <c r="A1" s="158" t="s">
        <v>218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74" t="s">
        <v>123</v>
      </c>
      <c r="H3" s="174" t="s">
        <v>124</v>
      </c>
      <c r="I3" s="160" t="s">
        <v>125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222" t="s">
        <v>138</v>
      </c>
      <c r="M4" s="176"/>
    </row>
    <row r="5">
      <c r="A5" s="164">
        <v>1.0</v>
      </c>
      <c r="B5" s="168"/>
      <c r="C5" s="168"/>
      <c r="D5" s="171">
        <v>0.0</v>
      </c>
      <c r="E5" s="171">
        <v>0.0</v>
      </c>
      <c r="F5" s="172"/>
      <c r="G5" s="168"/>
      <c r="H5" s="168"/>
      <c r="I5" s="168"/>
      <c r="J5" s="169">
        <f t="shared" ref="J5:J96" si="1">E5-D5</f>
        <v>0</v>
      </c>
      <c r="L5" s="223">
        <f>COUNTIF(F5:F81,"OUI")</f>
        <v>0</v>
      </c>
      <c r="M5" s="236" t="s">
        <v>170</v>
      </c>
    </row>
    <row r="6">
      <c r="A6" s="164">
        <v>2.0</v>
      </c>
      <c r="B6" s="168"/>
      <c r="C6" s="168"/>
      <c r="D6" s="171">
        <v>0.0</v>
      </c>
      <c r="E6" s="171">
        <v>0.0</v>
      </c>
      <c r="F6" s="172"/>
      <c r="G6" s="168"/>
      <c r="H6" s="168"/>
      <c r="I6" s="168"/>
      <c r="J6" s="169">
        <f t="shared" si="1"/>
        <v>0</v>
      </c>
      <c r="L6" s="176"/>
      <c r="M6" s="176"/>
    </row>
    <row r="7">
      <c r="A7" s="164">
        <v>3.0</v>
      </c>
      <c r="B7" s="168"/>
      <c r="C7" s="168"/>
      <c r="D7" s="171">
        <v>0.0</v>
      </c>
      <c r="E7" s="171">
        <v>0.0</v>
      </c>
      <c r="F7" s="172"/>
      <c r="G7" s="168"/>
      <c r="H7" s="168"/>
      <c r="I7" s="168"/>
      <c r="J7" s="169">
        <f t="shared" si="1"/>
        <v>0</v>
      </c>
      <c r="L7" s="222" t="s">
        <v>139</v>
      </c>
      <c r="M7" s="176"/>
    </row>
    <row r="8">
      <c r="A8" s="164">
        <v>4.0</v>
      </c>
      <c r="B8" s="168"/>
      <c r="C8" s="168"/>
      <c r="D8" s="171">
        <v>0.0</v>
      </c>
      <c r="E8" s="171">
        <v>0.0</v>
      </c>
      <c r="F8" s="172"/>
      <c r="G8" s="168"/>
      <c r="H8" s="168"/>
      <c r="I8" s="168"/>
      <c r="J8" s="169">
        <f t="shared" si="1"/>
        <v>0</v>
      </c>
      <c r="L8" s="225">
        <f>COUNTIF(F5:F84,"NON")+L5</f>
        <v>0</v>
      </c>
      <c r="M8" s="176"/>
    </row>
    <row r="9">
      <c r="A9" s="164">
        <v>5.0</v>
      </c>
      <c r="B9" s="168"/>
      <c r="C9" s="168"/>
      <c r="D9" s="171">
        <v>0.0</v>
      </c>
      <c r="E9" s="171">
        <v>0.0</v>
      </c>
      <c r="F9" s="172"/>
      <c r="G9" s="168"/>
      <c r="H9" s="168"/>
      <c r="I9" s="168"/>
      <c r="J9" s="169">
        <f t="shared" si="1"/>
        <v>0</v>
      </c>
    </row>
    <row r="10">
      <c r="A10" s="164">
        <v>6.0</v>
      </c>
      <c r="B10" s="168"/>
      <c r="C10" s="168"/>
      <c r="D10" s="171">
        <v>0.0</v>
      </c>
      <c r="E10" s="171">
        <v>0.0</v>
      </c>
      <c r="F10" s="172"/>
      <c r="G10" s="168"/>
      <c r="H10" s="168"/>
      <c r="I10" s="168"/>
      <c r="J10" s="169">
        <f t="shared" si="1"/>
        <v>0</v>
      </c>
    </row>
    <row r="11">
      <c r="A11" s="164">
        <v>7.0</v>
      </c>
      <c r="B11" s="168"/>
      <c r="C11" s="168"/>
      <c r="D11" s="171">
        <v>0.0</v>
      </c>
      <c r="E11" s="171">
        <v>0.0</v>
      </c>
      <c r="F11" s="172"/>
      <c r="G11" s="168"/>
      <c r="H11" s="168"/>
      <c r="I11" s="168"/>
      <c r="J11" s="169">
        <f t="shared" si="1"/>
        <v>0</v>
      </c>
    </row>
    <row r="12">
      <c r="A12" s="164">
        <v>8.0</v>
      </c>
      <c r="B12" s="168"/>
      <c r="C12" s="168"/>
      <c r="D12" s="171">
        <v>0.0</v>
      </c>
      <c r="E12" s="171">
        <v>0.0</v>
      </c>
      <c r="F12" s="172"/>
      <c r="G12" s="168"/>
      <c r="H12" s="168"/>
      <c r="I12" s="168"/>
      <c r="J12" s="169">
        <f t="shared" si="1"/>
        <v>0</v>
      </c>
    </row>
    <row r="13">
      <c r="A13" s="164">
        <v>9.0</v>
      </c>
      <c r="B13" s="168"/>
      <c r="C13" s="168"/>
      <c r="D13" s="171">
        <v>0.0</v>
      </c>
      <c r="E13" s="171">
        <v>0.0</v>
      </c>
      <c r="F13" s="172"/>
      <c r="G13" s="168"/>
      <c r="H13" s="168"/>
      <c r="I13" s="168"/>
      <c r="J13" s="169">
        <f t="shared" si="1"/>
        <v>0</v>
      </c>
    </row>
    <row r="14">
      <c r="A14" s="164">
        <v>10.0</v>
      </c>
      <c r="B14" s="168"/>
      <c r="C14" s="168"/>
      <c r="D14" s="171">
        <v>0.0</v>
      </c>
      <c r="E14" s="171">
        <v>0.0</v>
      </c>
      <c r="F14" s="172"/>
      <c r="G14" s="168"/>
      <c r="H14" s="168"/>
      <c r="I14" s="168"/>
      <c r="J14" s="169">
        <f t="shared" si="1"/>
        <v>0</v>
      </c>
    </row>
    <row r="15">
      <c r="A15" s="164">
        <v>11.0</v>
      </c>
      <c r="B15" s="168"/>
      <c r="C15" s="168"/>
      <c r="D15" s="171">
        <v>0.0</v>
      </c>
      <c r="E15" s="171">
        <v>0.0</v>
      </c>
      <c r="F15" s="172"/>
      <c r="G15" s="168"/>
      <c r="H15" s="168"/>
      <c r="I15" s="168"/>
      <c r="J15" s="169">
        <f t="shared" si="1"/>
        <v>0</v>
      </c>
    </row>
    <row r="16">
      <c r="A16" s="164">
        <v>12.0</v>
      </c>
      <c r="B16" s="168"/>
      <c r="C16" s="168"/>
      <c r="D16" s="171">
        <v>0.0</v>
      </c>
      <c r="E16" s="171">
        <v>0.0</v>
      </c>
      <c r="F16" s="172"/>
      <c r="G16" s="168"/>
      <c r="H16" s="168"/>
      <c r="I16" s="168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168"/>
      <c r="C17" s="168"/>
      <c r="D17" s="171">
        <v>0.0</v>
      </c>
      <c r="E17" s="171">
        <v>0.0</v>
      </c>
      <c r="F17" s="172"/>
      <c r="G17" s="168"/>
      <c r="H17" s="168"/>
      <c r="I17" s="168"/>
      <c r="J17" s="169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238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168"/>
      <c r="C18" s="168"/>
      <c r="D18" s="171">
        <v>0.0</v>
      </c>
      <c r="E18" s="171">
        <v>0.0</v>
      </c>
      <c r="F18" s="172"/>
      <c r="G18" s="168"/>
      <c r="H18" s="168"/>
      <c r="I18" s="168"/>
      <c r="J18" s="169">
        <f t="shared" si="1"/>
        <v>0</v>
      </c>
    </row>
    <row r="19">
      <c r="A19" s="164">
        <v>15.0</v>
      </c>
      <c r="B19" s="168"/>
      <c r="C19" s="168"/>
      <c r="D19" s="171">
        <v>0.0</v>
      </c>
      <c r="E19" s="171">
        <v>0.0</v>
      </c>
      <c r="F19" s="172"/>
      <c r="G19" s="168"/>
      <c r="H19" s="168"/>
      <c r="I19" s="168"/>
      <c r="J19" s="169">
        <f t="shared" si="1"/>
        <v>0</v>
      </c>
    </row>
    <row r="20">
      <c r="A20" s="164">
        <v>16.0</v>
      </c>
      <c r="B20" s="168"/>
      <c r="C20" s="168"/>
      <c r="D20" s="171">
        <v>0.0</v>
      </c>
      <c r="E20" s="171">
        <v>0.0</v>
      </c>
      <c r="F20" s="172"/>
      <c r="G20" s="168"/>
      <c r="H20" s="168"/>
      <c r="I20" s="168"/>
      <c r="J20" s="169">
        <f t="shared" si="1"/>
        <v>0</v>
      </c>
    </row>
    <row r="21">
      <c r="A21" s="164">
        <v>17.0</v>
      </c>
      <c r="B21" s="168"/>
      <c r="C21" s="168"/>
      <c r="D21" s="171">
        <v>0.0</v>
      </c>
      <c r="E21" s="171">
        <v>0.0</v>
      </c>
      <c r="F21" s="172"/>
      <c r="G21" s="168"/>
      <c r="H21" s="168"/>
      <c r="I21" s="168"/>
      <c r="J21" s="169">
        <f t="shared" si="1"/>
        <v>0</v>
      </c>
    </row>
    <row r="22">
      <c r="A22" s="164">
        <v>18.0</v>
      </c>
      <c r="B22" s="168"/>
      <c r="C22" s="168"/>
      <c r="D22" s="171">
        <v>0.0</v>
      </c>
      <c r="E22" s="171">
        <v>0.0</v>
      </c>
      <c r="F22" s="172"/>
      <c r="G22" s="168"/>
      <c r="H22" s="168"/>
      <c r="I22" s="168"/>
      <c r="J22" s="169">
        <f t="shared" si="1"/>
        <v>0</v>
      </c>
    </row>
    <row r="23">
      <c r="A23" s="164">
        <v>19.0</v>
      </c>
      <c r="B23" s="168"/>
      <c r="C23" s="168"/>
      <c r="D23" s="171">
        <v>0.0</v>
      </c>
      <c r="E23" s="171">
        <v>0.0</v>
      </c>
      <c r="F23" s="172"/>
      <c r="G23" s="168"/>
      <c r="H23" s="168"/>
      <c r="I23" s="168"/>
      <c r="J23" s="169">
        <f t="shared" si="1"/>
        <v>0</v>
      </c>
    </row>
    <row r="24">
      <c r="A24" s="164">
        <v>20.0</v>
      </c>
      <c r="B24" s="168"/>
      <c r="C24" s="168"/>
      <c r="D24" s="171">
        <v>0.0</v>
      </c>
      <c r="E24" s="171">
        <v>0.0</v>
      </c>
      <c r="F24" s="172"/>
      <c r="G24" s="168"/>
      <c r="H24" s="168"/>
      <c r="I24" s="168"/>
      <c r="J24" s="169">
        <f t="shared" si="1"/>
        <v>0</v>
      </c>
    </row>
    <row r="25">
      <c r="A25" s="164">
        <v>21.0</v>
      </c>
      <c r="B25" s="168"/>
      <c r="C25" s="168"/>
      <c r="D25" s="171">
        <v>0.0</v>
      </c>
      <c r="E25" s="171">
        <v>0.0</v>
      </c>
      <c r="F25" s="172"/>
      <c r="G25" s="168"/>
      <c r="H25" s="168"/>
      <c r="I25" s="168"/>
      <c r="J25" s="169">
        <f t="shared" si="1"/>
        <v>0</v>
      </c>
    </row>
    <row r="26">
      <c r="A26" s="164">
        <v>22.0</v>
      </c>
      <c r="B26" s="168"/>
      <c r="C26" s="168"/>
      <c r="D26" s="171">
        <v>0.0</v>
      </c>
      <c r="E26" s="171">
        <v>0.0</v>
      </c>
      <c r="F26" s="172"/>
      <c r="G26" s="168"/>
      <c r="H26" s="168"/>
      <c r="I26" s="168"/>
      <c r="J26" s="169">
        <f t="shared" si="1"/>
        <v>0</v>
      </c>
    </row>
    <row r="27">
      <c r="A27" s="164">
        <v>23.0</v>
      </c>
      <c r="B27" s="168"/>
      <c r="C27" s="168"/>
      <c r="D27" s="171">
        <v>0.0</v>
      </c>
      <c r="E27" s="171">
        <v>0.0</v>
      </c>
      <c r="F27" s="172"/>
      <c r="G27" s="168"/>
      <c r="H27" s="168"/>
      <c r="I27" s="168"/>
      <c r="J27" s="169">
        <f t="shared" si="1"/>
        <v>0</v>
      </c>
    </row>
    <row r="28">
      <c r="A28" s="164">
        <v>24.0</v>
      </c>
      <c r="B28" s="168"/>
      <c r="C28" s="168"/>
      <c r="D28" s="171">
        <v>0.0</v>
      </c>
      <c r="E28" s="171">
        <v>0.0</v>
      </c>
      <c r="F28" s="172"/>
      <c r="G28" s="168"/>
      <c r="H28" s="168"/>
      <c r="I28" s="168"/>
      <c r="J28" s="169">
        <f t="shared" si="1"/>
        <v>0</v>
      </c>
    </row>
    <row r="29">
      <c r="A29" s="164">
        <v>25.0</v>
      </c>
      <c r="B29" s="168"/>
      <c r="C29" s="168"/>
      <c r="D29" s="171">
        <v>0.0</v>
      </c>
      <c r="E29" s="171">
        <v>0.0</v>
      </c>
      <c r="F29" s="172"/>
      <c r="G29" s="168"/>
      <c r="H29" s="168"/>
      <c r="I29" s="168"/>
      <c r="J29" s="169">
        <f t="shared" si="1"/>
        <v>0</v>
      </c>
    </row>
    <row r="30">
      <c r="A30" s="164">
        <v>26.0</v>
      </c>
      <c r="B30" s="168"/>
      <c r="C30" s="168"/>
      <c r="D30" s="171">
        <v>0.0</v>
      </c>
      <c r="E30" s="171">
        <v>0.0</v>
      </c>
      <c r="F30" s="172"/>
      <c r="G30" s="168"/>
      <c r="H30" s="168"/>
      <c r="I30" s="168"/>
      <c r="J30" s="169">
        <f t="shared" si="1"/>
        <v>0</v>
      </c>
    </row>
    <row r="31">
      <c r="A31" s="164">
        <v>27.0</v>
      </c>
      <c r="B31" s="168"/>
      <c r="C31" s="168"/>
      <c r="D31" s="171">
        <v>0.0</v>
      </c>
      <c r="E31" s="171">
        <v>0.0</v>
      </c>
      <c r="F31" s="172"/>
      <c r="G31" s="168"/>
      <c r="H31" s="168"/>
      <c r="I31" s="168"/>
      <c r="J31" s="169">
        <f t="shared" si="1"/>
        <v>0</v>
      </c>
    </row>
    <row r="32">
      <c r="A32" s="164">
        <v>28.0</v>
      </c>
      <c r="B32" s="168"/>
      <c r="C32" s="168"/>
      <c r="D32" s="171">
        <v>0.0</v>
      </c>
      <c r="E32" s="171">
        <v>0.0</v>
      </c>
      <c r="F32" s="172"/>
      <c r="G32" s="168"/>
      <c r="H32" s="168"/>
      <c r="I32" s="168"/>
      <c r="J32" s="169">
        <f t="shared" si="1"/>
        <v>0</v>
      </c>
    </row>
    <row r="33">
      <c r="A33" s="164">
        <v>29.0</v>
      </c>
      <c r="B33" s="168"/>
      <c r="C33" s="168"/>
      <c r="D33" s="171">
        <v>0.0</v>
      </c>
      <c r="E33" s="171">
        <v>0.0</v>
      </c>
      <c r="F33" s="172"/>
      <c r="G33" s="168"/>
      <c r="H33" s="168"/>
      <c r="I33" s="168"/>
      <c r="J33" s="169">
        <f t="shared" si="1"/>
        <v>0</v>
      </c>
    </row>
    <row r="34">
      <c r="A34" s="164">
        <v>30.0</v>
      </c>
      <c r="B34" s="168"/>
      <c r="C34" s="168"/>
      <c r="D34" s="171">
        <v>0.0</v>
      </c>
      <c r="E34" s="171">
        <v>0.0</v>
      </c>
      <c r="F34" s="172"/>
      <c r="G34" s="168"/>
      <c r="H34" s="168"/>
      <c r="I34" s="168"/>
      <c r="J34" s="169">
        <f t="shared" si="1"/>
        <v>0</v>
      </c>
    </row>
    <row r="35">
      <c r="A35" s="164">
        <v>31.0</v>
      </c>
      <c r="B35" s="168"/>
      <c r="C35" s="168"/>
      <c r="D35" s="171">
        <v>0.0</v>
      </c>
      <c r="E35" s="171">
        <v>0.0</v>
      </c>
      <c r="F35" s="172"/>
      <c r="G35" s="168"/>
      <c r="H35" s="168"/>
      <c r="I35" s="168"/>
      <c r="J35" s="169">
        <f t="shared" si="1"/>
        <v>0</v>
      </c>
    </row>
    <row r="36">
      <c r="A36" s="164">
        <v>32.0</v>
      </c>
      <c r="B36" s="168"/>
      <c r="C36" s="168"/>
      <c r="D36" s="171">
        <v>0.0</v>
      </c>
      <c r="E36" s="171">
        <v>0.0</v>
      </c>
      <c r="F36" s="172"/>
      <c r="G36" s="168"/>
      <c r="H36" s="168"/>
      <c r="I36" s="168"/>
      <c r="J36" s="169">
        <f t="shared" si="1"/>
        <v>0</v>
      </c>
    </row>
    <row r="37">
      <c r="A37" s="164">
        <v>33.0</v>
      </c>
      <c r="B37" s="168"/>
      <c r="C37" s="168"/>
      <c r="D37" s="171">
        <v>0.0</v>
      </c>
      <c r="E37" s="171">
        <v>0.0</v>
      </c>
      <c r="F37" s="172"/>
      <c r="G37" s="168"/>
      <c r="H37" s="168"/>
      <c r="I37" s="168"/>
      <c r="J37" s="169">
        <f t="shared" si="1"/>
        <v>0</v>
      </c>
    </row>
    <row r="38">
      <c r="A38" s="164">
        <v>34.0</v>
      </c>
      <c r="B38" s="168"/>
      <c r="C38" s="168"/>
      <c r="D38" s="171">
        <v>0.0</v>
      </c>
      <c r="E38" s="171">
        <v>0.0</v>
      </c>
      <c r="F38" s="172"/>
      <c r="G38" s="168"/>
      <c r="H38" s="168"/>
      <c r="I38" s="168"/>
      <c r="J38" s="169">
        <f t="shared" si="1"/>
        <v>0</v>
      </c>
    </row>
    <row r="39">
      <c r="A39" s="164">
        <v>35.0</v>
      </c>
      <c r="B39" s="168"/>
      <c r="C39" s="168"/>
      <c r="D39" s="171">
        <v>0.0</v>
      </c>
      <c r="E39" s="171">
        <v>0.0</v>
      </c>
      <c r="F39" s="172"/>
      <c r="G39" s="168"/>
      <c r="H39" s="168"/>
      <c r="I39" s="168"/>
      <c r="J39" s="169">
        <f t="shared" si="1"/>
        <v>0</v>
      </c>
    </row>
    <row r="40">
      <c r="A40" s="164">
        <v>36.0</v>
      </c>
      <c r="B40" s="168"/>
      <c r="C40" s="168"/>
      <c r="D40" s="171">
        <v>0.0</v>
      </c>
      <c r="E40" s="171">
        <v>0.0</v>
      </c>
      <c r="F40" s="172"/>
      <c r="G40" s="168"/>
      <c r="H40" s="168"/>
      <c r="I40" s="168"/>
      <c r="J40" s="169">
        <f t="shared" si="1"/>
        <v>0</v>
      </c>
    </row>
    <row r="41">
      <c r="A41" s="164">
        <v>37.0</v>
      </c>
      <c r="B41" s="168"/>
      <c r="C41" s="168"/>
      <c r="D41" s="171">
        <v>0.0</v>
      </c>
      <c r="E41" s="171">
        <v>0.0</v>
      </c>
      <c r="F41" s="172"/>
      <c r="G41" s="168"/>
      <c r="H41" s="168"/>
      <c r="I41" s="168"/>
      <c r="J41" s="169">
        <f t="shared" si="1"/>
        <v>0</v>
      </c>
    </row>
    <row r="42">
      <c r="A42" s="164">
        <v>38.0</v>
      </c>
      <c r="B42" s="168"/>
      <c r="C42" s="168"/>
      <c r="D42" s="171">
        <v>0.0</v>
      </c>
      <c r="E42" s="171">
        <v>0.0</v>
      </c>
      <c r="F42" s="172"/>
      <c r="G42" s="168"/>
      <c r="H42" s="168"/>
      <c r="I42" s="168"/>
      <c r="J42" s="169">
        <f t="shared" si="1"/>
        <v>0</v>
      </c>
    </row>
    <row r="43">
      <c r="A43" s="164">
        <v>39.0</v>
      </c>
      <c r="B43" s="168"/>
      <c r="C43" s="168"/>
      <c r="D43" s="171">
        <v>0.0</v>
      </c>
      <c r="E43" s="171">
        <v>0.0</v>
      </c>
      <c r="F43" s="172"/>
      <c r="G43" s="168"/>
      <c r="H43" s="168"/>
      <c r="I43" s="168"/>
      <c r="J43" s="169">
        <f t="shared" si="1"/>
        <v>0</v>
      </c>
    </row>
    <row r="44">
      <c r="A44" s="164">
        <v>40.0</v>
      </c>
      <c r="B44" s="168"/>
      <c r="C44" s="168"/>
      <c r="D44" s="171">
        <v>0.0</v>
      </c>
      <c r="E44" s="171">
        <v>0.0</v>
      </c>
      <c r="F44" s="172"/>
      <c r="G44" s="168"/>
      <c r="H44" s="168"/>
      <c r="I44" s="168"/>
      <c r="J44" s="169">
        <f t="shared" si="1"/>
        <v>0</v>
      </c>
    </row>
    <row r="45">
      <c r="A45" s="164">
        <v>41.0</v>
      </c>
      <c r="B45" s="168"/>
      <c r="C45" s="168"/>
      <c r="D45" s="171">
        <v>0.0</v>
      </c>
      <c r="E45" s="171">
        <v>0.0</v>
      </c>
      <c r="F45" s="172"/>
      <c r="G45" s="168"/>
      <c r="H45" s="168"/>
      <c r="I45" s="168"/>
      <c r="J45" s="169">
        <f t="shared" si="1"/>
        <v>0</v>
      </c>
    </row>
    <row r="46">
      <c r="A46" s="164">
        <v>42.0</v>
      </c>
      <c r="B46" s="168"/>
      <c r="C46" s="168"/>
      <c r="D46" s="171">
        <v>0.0</v>
      </c>
      <c r="E46" s="171">
        <v>0.0</v>
      </c>
      <c r="F46" s="172"/>
      <c r="G46" s="168"/>
      <c r="H46" s="168"/>
      <c r="I46" s="168"/>
      <c r="J46" s="169">
        <f t="shared" si="1"/>
        <v>0</v>
      </c>
    </row>
    <row r="47">
      <c r="A47" s="164">
        <v>43.0</v>
      </c>
      <c r="B47" s="168"/>
      <c r="C47" s="168"/>
      <c r="D47" s="171">
        <v>0.0</v>
      </c>
      <c r="E47" s="171">
        <v>0.0</v>
      </c>
      <c r="F47" s="172"/>
      <c r="G47" s="168"/>
      <c r="H47" s="168"/>
      <c r="I47" s="168"/>
      <c r="J47" s="169">
        <f t="shared" si="1"/>
        <v>0</v>
      </c>
    </row>
    <row r="48">
      <c r="A48" s="164">
        <v>44.0</v>
      </c>
      <c r="B48" s="168"/>
      <c r="C48" s="168"/>
      <c r="D48" s="171">
        <v>0.0</v>
      </c>
      <c r="E48" s="171">
        <v>0.0</v>
      </c>
      <c r="F48" s="172"/>
      <c r="G48" s="168"/>
      <c r="H48" s="168"/>
      <c r="I48" s="168"/>
      <c r="J48" s="169">
        <f t="shared" si="1"/>
        <v>0</v>
      </c>
    </row>
    <row r="49">
      <c r="A49" s="164">
        <v>45.0</v>
      </c>
      <c r="B49" s="168"/>
      <c r="C49" s="168"/>
      <c r="D49" s="171">
        <v>0.0</v>
      </c>
      <c r="E49" s="171">
        <v>0.0</v>
      </c>
      <c r="F49" s="172"/>
      <c r="G49" s="168"/>
      <c r="H49" s="168"/>
      <c r="I49" s="168"/>
      <c r="J49" s="169">
        <f t="shared" si="1"/>
        <v>0</v>
      </c>
    </row>
    <row r="50">
      <c r="A50" s="164">
        <v>46.0</v>
      </c>
      <c r="B50" s="168"/>
      <c r="C50" s="168"/>
      <c r="D50" s="171">
        <v>0.0</v>
      </c>
      <c r="E50" s="171">
        <v>0.0</v>
      </c>
      <c r="F50" s="168"/>
      <c r="G50" s="168"/>
      <c r="H50" s="168"/>
      <c r="I50" s="168"/>
      <c r="J50" s="169">
        <f t="shared" si="1"/>
        <v>0</v>
      </c>
    </row>
    <row r="51">
      <c r="A51" s="164">
        <v>47.0</v>
      </c>
      <c r="B51" s="168"/>
      <c r="C51" s="168"/>
      <c r="D51" s="171">
        <v>0.0</v>
      </c>
      <c r="E51" s="171">
        <v>0.0</v>
      </c>
      <c r="F51" s="168"/>
      <c r="G51" s="168"/>
      <c r="H51" s="168"/>
      <c r="I51" s="168"/>
      <c r="J51" s="169">
        <f t="shared" si="1"/>
        <v>0</v>
      </c>
    </row>
    <row r="52">
      <c r="A52" s="164">
        <v>48.0</v>
      </c>
      <c r="B52" s="168"/>
      <c r="C52" s="168"/>
      <c r="D52" s="171">
        <v>0.0</v>
      </c>
      <c r="E52" s="171">
        <v>0.0</v>
      </c>
      <c r="F52" s="168"/>
      <c r="G52" s="168"/>
      <c r="H52" s="168"/>
      <c r="I52" s="168"/>
      <c r="J52" s="169">
        <f t="shared" si="1"/>
        <v>0</v>
      </c>
    </row>
    <row r="53">
      <c r="A53" s="164">
        <v>49.0</v>
      </c>
      <c r="B53" s="168"/>
      <c r="C53" s="168"/>
      <c r="D53" s="171">
        <v>0.0</v>
      </c>
      <c r="E53" s="171">
        <v>0.0</v>
      </c>
      <c r="F53" s="168"/>
      <c r="G53" s="168"/>
      <c r="H53" s="168"/>
      <c r="I53" s="168"/>
      <c r="J53" s="169">
        <f t="shared" si="1"/>
        <v>0</v>
      </c>
    </row>
    <row r="54">
      <c r="A54" s="164">
        <v>50.0</v>
      </c>
      <c r="B54" s="168"/>
      <c r="C54" s="168"/>
      <c r="D54" s="171">
        <v>0.0</v>
      </c>
      <c r="E54" s="171">
        <v>0.0</v>
      </c>
      <c r="F54" s="168"/>
      <c r="G54" s="168"/>
      <c r="H54" s="168"/>
      <c r="I54" s="168"/>
      <c r="J54" s="169">
        <f t="shared" si="1"/>
        <v>0</v>
      </c>
    </row>
    <row r="55">
      <c r="A55" s="164">
        <v>51.0</v>
      </c>
      <c r="B55" s="168"/>
      <c r="C55" s="168"/>
      <c r="D55" s="171">
        <v>0.0</v>
      </c>
      <c r="E55" s="171">
        <v>0.0</v>
      </c>
      <c r="F55" s="168"/>
      <c r="G55" s="168"/>
      <c r="H55" s="168"/>
      <c r="I55" s="168"/>
      <c r="J55" s="169">
        <f t="shared" si="1"/>
        <v>0</v>
      </c>
    </row>
    <row r="56">
      <c r="A56" s="164">
        <v>52.0</v>
      </c>
      <c r="B56" s="168"/>
      <c r="C56" s="168"/>
      <c r="D56" s="171">
        <v>0.0</v>
      </c>
      <c r="E56" s="171">
        <v>0.0</v>
      </c>
      <c r="F56" s="168"/>
      <c r="G56" s="168"/>
      <c r="H56" s="168"/>
      <c r="I56" s="168"/>
      <c r="J56" s="169">
        <f t="shared" si="1"/>
        <v>0</v>
      </c>
    </row>
    <row r="57">
      <c r="A57" s="164">
        <v>53.0</v>
      </c>
      <c r="B57" s="168"/>
      <c r="C57" s="168"/>
      <c r="D57" s="171">
        <v>0.0</v>
      </c>
      <c r="E57" s="171">
        <v>0.0</v>
      </c>
      <c r="F57" s="168"/>
      <c r="G57" s="168"/>
      <c r="H57" s="168"/>
      <c r="I57" s="168"/>
      <c r="J57" s="169">
        <f t="shared" si="1"/>
        <v>0</v>
      </c>
    </row>
    <row r="58">
      <c r="A58" s="164">
        <v>54.0</v>
      </c>
      <c r="B58" s="168"/>
      <c r="C58" s="168"/>
      <c r="D58" s="171">
        <v>0.0</v>
      </c>
      <c r="E58" s="171">
        <v>0.0</v>
      </c>
      <c r="F58" s="168"/>
      <c r="G58" s="168"/>
      <c r="H58" s="168"/>
      <c r="I58" s="168"/>
      <c r="J58" s="169">
        <f t="shared" si="1"/>
        <v>0</v>
      </c>
    </row>
    <row r="59">
      <c r="A59" s="164">
        <v>55.0</v>
      </c>
      <c r="B59" s="168"/>
      <c r="C59" s="168"/>
      <c r="D59" s="171">
        <v>0.0</v>
      </c>
      <c r="E59" s="171">
        <v>0.0</v>
      </c>
      <c r="F59" s="168"/>
      <c r="G59" s="168"/>
      <c r="H59" s="168"/>
      <c r="I59" s="168"/>
      <c r="J59" s="169">
        <f t="shared" si="1"/>
        <v>0</v>
      </c>
    </row>
    <row r="60">
      <c r="A60" s="164">
        <v>56.0</v>
      </c>
      <c r="B60" s="168"/>
      <c r="C60" s="168"/>
      <c r="D60" s="171">
        <v>0.0</v>
      </c>
      <c r="E60" s="171">
        <v>0.0</v>
      </c>
      <c r="F60" s="168"/>
      <c r="G60" s="168"/>
      <c r="H60" s="168"/>
      <c r="I60" s="168"/>
      <c r="J60" s="169">
        <f t="shared" si="1"/>
        <v>0</v>
      </c>
    </row>
    <row r="61">
      <c r="A61" s="164">
        <v>57.0</v>
      </c>
      <c r="B61" s="168"/>
      <c r="C61" s="168"/>
      <c r="D61" s="171">
        <v>0.0</v>
      </c>
      <c r="E61" s="171">
        <v>0.0</v>
      </c>
      <c r="F61" s="168"/>
      <c r="G61" s="168"/>
      <c r="H61" s="168"/>
      <c r="I61" s="168"/>
      <c r="J61" s="169">
        <f t="shared" si="1"/>
        <v>0</v>
      </c>
    </row>
    <row r="62">
      <c r="A62" s="164">
        <v>58.0</v>
      </c>
      <c r="B62" s="168"/>
      <c r="C62" s="168"/>
      <c r="D62" s="171">
        <v>0.0</v>
      </c>
      <c r="E62" s="171">
        <v>0.0</v>
      </c>
      <c r="F62" s="168"/>
      <c r="G62" s="168"/>
      <c r="H62" s="168"/>
      <c r="I62" s="168"/>
      <c r="J62" s="169">
        <f t="shared" si="1"/>
        <v>0</v>
      </c>
    </row>
    <row r="63">
      <c r="A63" s="164">
        <v>59.0</v>
      </c>
      <c r="B63" s="168"/>
      <c r="C63" s="168"/>
      <c r="D63" s="171">
        <v>0.0</v>
      </c>
      <c r="E63" s="171">
        <v>0.0</v>
      </c>
      <c r="F63" s="168"/>
      <c r="G63" s="168"/>
      <c r="H63" s="168"/>
      <c r="I63" s="168"/>
      <c r="J63" s="169">
        <f t="shared" si="1"/>
        <v>0</v>
      </c>
    </row>
    <row r="64">
      <c r="A64" s="164">
        <v>60.0</v>
      </c>
      <c r="B64" s="168"/>
      <c r="C64" s="168"/>
      <c r="D64" s="171">
        <v>0.0</v>
      </c>
      <c r="E64" s="171">
        <v>0.0</v>
      </c>
      <c r="F64" s="168"/>
      <c r="G64" s="168"/>
      <c r="H64" s="168"/>
      <c r="I64" s="168"/>
      <c r="J64" s="169">
        <f t="shared" si="1"/>
        <v>0</v>
      </c>
    </row>
    <row r="65">
      <c r="A65" s="164">
        <v>61.0</v>
      </c>
      <c r="B65" s="168"/>
      <c r="C65" s="168"/>
      <c r="D65" s="171">
        <v>0.0</v>
      </c>
      <c r="E65" s="171">
        <v>0.0</v>
      </c>
      <c r="F65" s="168"/>
      <c r="G65" s="168"/>
      <c r="H65" s="168"/>
      <c r="I65" s="168"/>
      <c r="J65" s="169">
        <f t="shared" si="1"/>
        <v>0</v>
      </c>
    </row>
    <row r="66">
      <c r="A66" s="164">
        <v>62.0</v>
      </c>
      <c r="B66" s="168"/>
      <c r="C66" s="168"/>
      <c r="D66" s="171">
        <v>0.0</v>
      </c>
      <c r="E66" s="171">
        <v>0.0</v>
      </c>
      <c r="F66" s="168"/>
      <c r="G66" s="168"/>
      <c r="H66" s="168"/>
      <c r="I66" s="168"/>
      <c r="J66" s="169">
        <f t="shared" si="1"/>
        <v>0</v>
      </c>
    </row>
    <row r="67">
      <c r="A67" s="164">
        <v>63.0</v>
      </c>
      <c r="B67" s="168"/>
      <c r="C67" s="168"/>
      <c r="D67" s="171">
        <v>0.0</v>
      </c>
      <c r="E67" s="171">
        <v>0.0</v>
      </c>
      <c r="F67" s="168"/>
      <c r="G67" s="168"/>
      <c r="H67" s="168"/>
      <c r="I67" s="168"/>
      <c r="J67" s="169">
        <f t="shared" si="1"/>
        <v>0</v>
      </c>
    </row>
    <row r="68">
      <c r="A68" s="164">
        <v>64.0</v>
      </c>
      <c r="B68" s="168"/>
      <c r="C68" s="168"/>
      <c r="D68" s="171">
        <v>0.0</v>
      </c>
      <c r="E68" s="171">
        <v>0.0</v>
      </c>
      <c r="F68" s="168"/>
      <c r="G68" s="168"/>
      <c r="H68" s="168"/>
      <c r="I68" s="168"/>
      <c r="J68" s="169">
        <f t="shared" si="1"/>
        <v>0</v>
      </c>
    </row>
    <row r="69">
      <c r="A69" s="164">
        <v>65.0</v>
      </c>
      <c r="B69" s="168"/>
      <c r="C69" s="168"/>
      <c r="D69" s="171">
        <v>0.0</v>
      </c>
      <c r="E69" s="171">
        <v>0.0</v>
      </c>
      <c r="F69" s="168"/>
      <c r="G69" s="168"/>
      <c r="H69" s="168"/>
      <c r="I69" s="168"/>
      <c r="J69" s="169">
        <f t="shared" si="1"/>
        <v>0</v>
      </c>
    </row>
    <row r="70">
      <c r="A70" s="164">
        <v>66.0</v>
      </c>
      <c r="B70" s="168"/>
      <c r="C70" s="168"/>
      <c r="D70" s="171">
        <v>0.0</v>
      </c>
      <c r="E70" s="171">
        <v>0.0</v>
      </c>
      <c r="F70" s="168"/>
      <c r="G70" s="168"/>
      <c r="H70" s="168"/>
      <c r="I70" s="168"/>
      <c r="J70" s="169">
        <f t="shared" si="1"/>
        <v>0</v>
      </c>
    </row>
    <row r="71">
      <c r="A71" s="164">
        <v>67.0</v>
      </c>
      <c r="B71" s="168"/>
      <c r="C71" s="168"/>
      <c r="D71" s="171">
        <v>0.0</v>
      </c>
      <c r="E71" s="171">
        <v>0.0</v>
      </c>
      <c r="F71" s="168"/>
      <c r="G71" s="168"/>
      <c r="H71" s="168"/>
      <c r="I71" s="168"/>
      <c r="J71" s="169">
        <f t="shared" si="1"/>
        <v>0</v>
      </c>
    </row>
    <row r="72">
      <c r="A72" s="164">
        <v>68.0</v>
      </c>
      <c r="B72" s="168"/>
      <c r="C72" s="168"/>
      <c r="D72" s="171">
        <v>0.0</v>
      </c>
      <c r="E72" s="171">
        <v>0.0</v>
      </c>
      <c r="F72" s="168"/>
      <c r="G72" s="168"/>
      <c r="H72" s="168"/>
      <c r="I72" s="168"/>
      <c r="J72" s="169">
        <f t="shared" si="1"/>
        <v>0</v>
      </c>
    </row>
    <row r="73">
      <c r="A73" s="164">
        <v>69.0</v>
      </c>
      <c r="B73" s="168"/>
      <c r="C73" s="168"/>
      <c r="D73" s="171">
        <v>0.0</v>
      </c>
      <c r="E73" s="171">
        <v>0.0</v>
      </c>
      <c r="F73" s="168"/>
      <c r="G73" s="168"/>
      <c r="H73" s="168"/>
      <c r="I73" s="168"/>
      <c r="J73" s="169">
        <f t="shared" si="1"/>
        <v>0</v>
      </c>
    </row>
    <row r="74">
      <c r="A74" s="164">
        <v>70.0</v>
      </c>
      <c r="B74" s="168"/>
      <c r="C74" s="168"/>
      <c r="D74" s="171">
        <v>0.0</v>
      </c>
      <c r="E74" s="171">
        <v>0.0</v>
      </c>
      <c r="F74" s="168"/>
      <c r="G74" s="168"/>
      <c r="H74" s="168"/>
      <c r="I74" s="168"/>
      <c r="J74" s="169">
        <f t="shared" si="1"/>
        <v>0</v>
      </c>
    </row>
    <row r="75">
      <c r="A75" s="164">
        <v>71.0</v>
      </c>
      <c r="B75" s="168"/>
      <c r="C75" s="168"/>
      <c r="D75" s="171">
        <v>0.0</v>
      </c>
      <c r="E75" s="171">
        <v>0.0</v>
      </c>
      <c r="F75" s="168"/>
      <c r="G75" s="168"/>
      <c r="H75" s="168"/>
      <c r="I75" s="168"/>
      <c r="J75" s="169">
        <f t="shared" si="1"/>
        <v>0</v>
      </c>
    </row>
    <row r="76">
      <c r="A76" s="164">
        <v>72.0</v>
      </c>
      <c r="B76" s="168"/>
      <c r="C76" s="168"/>
      <c r="D76" s="171">
        <v>0.0</v>
      </c>
      <c r="E76" s="171">
        <v>0.0</v>
      </c>
      <c r="F76" s="168"/>
      <c r="G76" s="168"/>
      <c r="H76" s="168"/>
      <c r="I76" s="168"/>
      <c r="J76" s="169">
        <f t="shared" si="1"/>
        <v>0</v>
      </c>
    </row>
    <row r="77">
      <c r="A77" s="164">
        <v>73.0</v>
      </c>
      <c r="B77" s="168"/>
      <c r="C77" s="168"/>
      <c r="D77" s="171">
        <v>0.0</v>
      </c>
      <c r="E77" s="171">
        <v>0.0</v>
      </c>
      <c r="F77" s="168"/>
      <c r="G77" s="168"/>
      <c r="H77" s="168"/>
      <c r="I77" s="168"/>
      <c r="J77" s="169">
        <f t="shared" si="1"/>
        <v>0</v>
      </c>
    </row>
    <row r="78">
      <c r="A78" s="164">
        <v>74.0</v>
      </c>
      <c r="B78" s="168"/>
      <c r="C78" s="168"/>
      <c r="D78" s="171">
        <v>0.0</v>
      </c>
      <c r="E78" s="171">
        <v>0.0</v>
      </c>
      <c r="F78" s="168"/>
      <c r="G78" s="168"/>
      <c r="H78" s="168"/>
      <c r="I78" s="168"/>
      <c r="J78" s="169">
        <f t="shared" si="1"/>
        <v>0</v>
      </c>
    </row>
    <row r="79">
      <c r="A79" s="164">
        <v>75.0</v>
      </c>
      <c r="B79" s="168"/>
      <c r="C79" s="168"/>
      <c r="D79" s="171">
        <v>0.0</v>
      </c>
      <c r="E79" s="171">
        <v>0.0</v>
      </c>
      <c r="F79" s="168"/>
      <c r="G79" s="168"/>
      <c r="H79" s="168"/>
      <c r="I79" s="168"/>
      <c r="J79" s="169">
        <f t="shared" si="1"/>
        <v>0</v>
      </c>
    </row>
    <row r="80">
      <c r="A80" s="164">
        <v>76.0</v>
      </c>
      <c r="B80" s="168"/>
      <c r="C80" s="168"/>
      <c r="D80" s="171">
        <v>0.0</v>
      </c>
      <c r="E80" s="171">
        <v>0.0</v>
      </c>
      <c r="F80" s="168"/>
      <c r="G80" s="168"/>
      <c r="H80" s="168"/>
      <c r="I80" s="168"/>
      <c r="J80" s="169">
        <f t="shared" si="1"/>
        <v>0</v>
      </c>
    </row>
    <row r="81">
      <c r="A81" s="164">
        <v>77.0</v>
      </c>
      <c r="B81" s="168"/>
      <c r="C81" s="168"/>
      <c r="D81" s="171">
        <v>0.0</v>
      </c>
      <c r="E81" s="171">
        <v>0.0</v>
      </c>
      <c r="F81" s="168"/>
      <c r="G81" s="168"/>
      <c r="H81" s="168"/>
      <c r="I81" s="168"/>
      <c r="J81" s="169">
        <f t="shared" si="1"/>
        <v>0</v>
      </c>
    </row>
    <row r="82">
      <c r="A82" s="164">
        <v>78.0</v>
      </c>
      <c r="B82" s="168"/>
      <c r="C82" s="168"/>
      <c r="D82" s="171">
        <v>0.0</v>
      </c>
      <c r="E82" s="171">
        <v>0.0</v>
      </c>
      <c r="F82" s="168"/>
      <c r="G82" s="168"/>
      <c r="H82" s="168"/>
      <c r="I82" s="168"/>
      <c r="J82" s="169">
        <f t="shared" si="1"/>
        <v>0</v>
      </c>
    </row>
    <row r="83">
      <c r="A83" s="164">
        <v>79.0</v>
      </c>
      <c r="B83" s="168"/>
      <c r="C83" s="168"/>
      <c r="D83" s="171">
        <v>0.0</v>
      </c>
      <c r="E83" s="171">
        <v>0.0</v>
      </c>
      <c r="F83" s="168"/>
      <c r="G83" s="168"/>
      <c r="H83" s="168"/>
      <c r="I83" s="168"/>
      <c r="J83" s="169">
        <f t="shared" si="1"/>
        <v>0</v>
      </c>
    </row>
    <row r="84">
      <c r="A84" s="164">
        <v>80.0</v>
      </c>
      <c r="B84" s="168"/>
      <c r="C84" s="168"/>
      <c r="D84" s="171">
        <v>0.0</v>
      </c>
      <c r="E84" s="171">
        <v>0.0</v>
      </c>
      <c r="F84" s="168"/>
      <c r="G84" s="168"/>
      <c r="H84" s="168"/>
      <c r="I84" s="168"/>
      <c r="J84" s="169">
        <f t="shared" si="1"/>
        <v>0</v>
      </c>
    </row>
    <row r="85">
      <c r="A85" s="164">
        <v>81.0</v>
      </c>
      <c r="B85" s="168"/>
      <c r="C85" s="168"/>
      <c r="D85" s="171">
        <v>0.0</v>
      </c>
      <c r="E85" s="171">
        <v>0.0</v>
      </c>
      <c r="F85" s="168"/>
      <c r="G85" s="168"/>
      <c r="H85" s="168"/>
      <c r="I85" s="168"/>
      <c r="J85" s="169">
        <f t="shared" si="1"/>
        <v>0</v>
      </c>
    </row>
    <row r="86">
      <c r="A86" s="164">
        <v>82.0</v>
      </c>
      <c r="B86" s="168"/>
      <c r="C86" s="168"/>
      <c r="D86" s="171">
        <v>0.0</v>
      </c>
      <c r="E86" s="171">
        <v>0.0</v>
      </c>
      <c r="F86" s="168"/>
      <c r="G86" s="168"/>
      <c r="H86" s="168"/>
      <c r="I86" s="168"/>
      <c r="J86" s="169">
        <f t="shared" si="1"/>
        <v>0</v>
      </c>
    </row>
    <row r="87">
      <c r="A87" s="164">
        <v>83.0</v>
      </c>
      <c r="B87" s="168"/>
      <c r="C87" s="168"/>
      <c r="D87" s="171">
        <v>0.0</v>
      </c>
      <c r="E87" s="171">
        <v>0.0</v>
      </c>
      <c r="F87" s="168"/>
      <c r="G87" s="168"/>
      <c r="H87" s="168"/>
      <c r="I87" s="168"/>
      <c r="J87" s="169">
        <f t="shared" si="1"/>
        <v>0</v>
      </c>
    </row>
    <row r="88">
      <c r="A88" s="164">
        <v>84.0</v>
      </c>
      <c r="B88" s="168"/>
      <c r="C88" s="168"/>
      <c r="D88" s="171">
        <v>0.0</v>
      </c>
      <c r="E88" s="171">
        <v>0.0</v>
      </c>
      <c r="F88" s="168"/>
      <c r="G88" s="168"/>
      <c r="H88" s="168"/>
      <c r="I88" s="168"/>
      <c r="J88" s="169">
        <f t="shared" si="1"/>
        <v>0</v>
      </c>
    </row>
    <row r="89">
      <c r="A89" s="164">
        <v>85.0</v>
      </c>
      <c r="B89" s="168"/>
      <c r="C89" s="168"/>
      <c r="D89" s="171">
        <v>0.0</v>
      </c>
      <c r="E89" s="171">
        <v>0.0</v>
      </c>
      <c r="F89" s="168"/>
      <c r="G89" s="168"/>
      <c r="H89" s="168"/>
      <c r="I89" s="168"/>
      <c r="J89" s="169">
        <f t="shared" si="1"/>
        <v>0</v>
      </c>
    </row>
    <row r="90">
      <c r="A90" s="164">
        <v>86.0</v>
      </c>
      <c r="B90" s="168"/>
      <c r="C90" s="168"/>
      <c r="D90" s="171">
        <v>0.0</v>
      </c>
      <c r="E90" s="171">
        <v>0.0</v>
      </c>
      <c r="F90" s="168"/>
      <c r="G90" s="168"/>
      <c r="H90" s="168"/>
      <c r="I90" s="168"/>
      <c r="J90" s="169">
        <f t="shared" si="1"/>
        <v>0</v>
      </c>
    </row>
    <row r="91">
      <c r="A91" s="164">
        <v>87.0</v>
      </c>
      <c r="B91" s="168"/>
      <c r="C91" s="168"/>
      <c r="D91" s="171">
        <v>0.0</v>
      </c>
      <c r="E91" s="171">
        <v>0.0</v>
      </c>
      <c r="F91" s="168"/>
      <c r="G91" s="168"/>
      <c r="H91" s="168"/>
      <c r="I91" s="168"/>
      <c r="J91" s="169">
        <f t="shared" si="1"/>
        <v>0</v>
      </c>
    </row>
    <row r="92">
      <c r="A92" s="164">
        <v>88.0</v>
      </c>
      <c r="B92" s="168"/>
      <c r="C92" s="168"/>
      <c r="D92" s="171">
        <v>0.0</v>
      </c>
      <c r="E92" s="171">
        <v>0.0</v>
      </c>
      <c r="F92" s="168"/>
      <c r="G92" s="168"/>
      <c r="H92" s="168"/>
      <c r="I92" s="168"/>
      <c r="J92" s="169">
        <f t="shared" si="1"/>
        <v>0</v>
      </c>
    </row>
    <row r="93">
      <c r="A93" s="164">
        <v>89.0</v>
      </c>
      <c r="B93" s="168"/>
      <c r="C93" s="168"/>
      <c r="D93" s="171">
        <v>0.0</v>
      </c>
      <c r="E93" s="171">
        <v>0.0</v>
      </c>
      <c r="F93" s="168"/>
      <c r="G93" s="168"/>
      <c r="H93" s="168"/>
      <c r="I93" s="168"/>
      <c r="J93" s="169">
        <f t="shared" si="1"/>
        <v>0</v>
      </c>
    </row>
    <row r="94">
      <c r="A94" s="164">
        <v>90.0</v>
      </c>
      <c r="B94" s="168"/>
      <c r="C94" s="168"/>
      <c r="D94" s="171">
        <v>0.0</v>
      </c>
      <c r="E94" s="171">
        <v>0.0</v>
      </c>
      <c r="F94" s="168"/>
      <c r="G94" s="168"/>
      <c r="H94" s="168"/>
      <c r="I94" s="168"/>
      <c r="J94" s="169">
        <f t="shared" si="1"/>
        <v>0</v>
      </c>
    </row>
    <row r="95">
      <c r="A95" s="164">
        <v>91.0</v>
      </c>
      <c r="B95" s="168"/>
      <c r="C95" s="168"/>
      <c r="D95" s="171">
        <v>0.0</v>
      </c>
      <c r="E95" s="171">
        <v>0.0</v>
      </c>
      <c r="F95" s="168"/>
      <c r="G95" s="168"/>
      <c r="H95" s="168"/>
      <c r="I95" s="168"/>
      <c r="J95" s="169">
        <f t="shared" si="1"/>
        <v>0</v>
      </c>
    </row>
    <row r="96">
      <c r="A96" s="164">
        <v>92.0</v>
      </c>
      <c r="B96" s="168"/>
      <c r="C96" s="168"/>
      <c r="D96" s="171">
        <v>0.0</v>
      </c>
      <c r="E96" s="171">
        <v>0.0</v>
      </c>
      <c r="F96" s="168"/>
      <c r="G96" s="168"/>
      <c r="H96" s="168"/>
      <c r="I96" s="168"/>
      <c r="J96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dataValidations>
    <dataValidation type="list" allowBlank="1" showErrorMessage="1" sqref="F5:F96">
      <formula1>"OUI,NON"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18.25"/>
    <col customWidth="1" min="11" max="11" width="8.88"/>
    <col customWidth="1" min="12" max="12" width="31.75"/>
    <col customWidth="1" min="13" max="13" width="18.0"/>
    <col customWidth="1" min="14" max="14" width="19.0"/>
  </cols>
  <sheetData>
    <row r="1">
      <c r="A1" s="158" t="s">
        <v>219</v>
      </c>
      <c r="B1" s="120"/>
      <c r="C1" s="120"/>
      <c r="D1" s="120"/>
      <c r="E1" s="120"/>
      <c r="F1" s="120"/>
      <c r="G1" s="120"/>
      <c r="H1" s="120"/>
      <c r="I1" s="120"/>
      <c r="J1" s="105"/>
    </row>
    <row r="2">
      <c r="A2" s="121"/>
      <c r="B2" s="122"/>
      <c r="C2" s="122"/>
      <c r="D2" s="122"/>
      <c r="E2" s="122"/>
      <c r="F2" s="122"/>
      <c r="G2" s="122"/>
      <c r="H2" s="122"/>
      <c r="I2" s="122"/>
      <c r="J2" s="30"/>
    </row>
    <row r="3">
      <c r="A3" s="159" t="s">
        <v>117</v>
      </c>
      <c r="B3" s="160" t="s">
        <v>118</v>
      </c>
      <c r="C3" s="160" t="s">
        <v>119</v>
      </c>
      <c r="D3" s="160" t="s">
        <v>120</v>
      </c>
      <c r="E3" s="160" t="s">
        <v>121</v>
      </c>
      <c r="F3" s="161" t="s">
        <v>122</v>
      </c>
      <c r="G3" s="162" t="s">
        <v>220</v>
      </c>
      <c r="H3" s="162" t="s">
        <v>221</v>
      </c>
      <c r="I3" s="162" t="s">
        <v>222</v>
      </c>
      <c r="J3" s="175" t="s">
        <v>126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L4" s="222" t="s">
        <v>138</v>
      </c>
      <c r="M4" s="176"/>
    </row>
    <row r="5">
      <c r="A5" s="164">
        <v>1.0</v>
      </c>
      <c r="B5" s="221"/>
      <c r="C5" s="172"/>
      <c r="D5" s="171">
        <v>0.0</v>
      </c>
      <c r="E5" s="171">
        <v>0.0</v>
      </c>
      <c r="F5" s="172"/>
      <c r="G5" s="172"/>
      <c r="H5" s="172"/>
      <c r="I5" s="172"/>
      <c r="J5" s="169">
        <f t="shared" ref="J5:J96" si="1">E5-D5</f>
        <v>0</v>
      </c>
      <c r="L5" s="223">
        <f>COUNTIF(F5:F94,"OUI")</f>
        <v>0</v>
      </c>
      <c r="M5" s="236" t="s">
        <v>223</v>
      </c>
    </row>
    <row r="6">
      <c r="A6" s="164">
        <v>2.0</v>
      </c>
      <c r="B6" s="221"/>
      <c r="C6" s="172"/>
      <c r="D6" s="171">
        <v>0.0</v>
      </c>
      <c r="E6" s="171">
        <v>0.0</v>
      </c>
      <c r="F6" s="172"/>
      <c r="G6" s="172"/>
      <c r="H6" s="172"/>
      <c r="I6" s="172"/>
      <c r="J6" s="169">
        <f t="shared" si="1"/>
        <v>0</v>
      </c>
      <c r="L6" s="176"/>
      <c r="M6" s="176"/>
    </row>
    <row r="7">
      <c r="A7" s="164">
        <v>3.0</v>
      </c>
      <c r="B7" s="221"/>
      <c r="C7" s="172"/>
      <c r="D7" s="171">
        <v>0.0</v>
      </c>
      <c r="E7" s="171">
        <v>0.0</v>
      </c>
      <c r="F7" s="172"/>
      <c r="G7" s="172"/>
      <c r="H7" s="172"/>
      <c r="I7" s="172"/>
      <c r="J7" s="169">
        <f t="shared" si="1"/>
        <v>0</v>
      </c>
      <c r="L7" s="222" t="s">
        <v>139</v>
      </c>
      <c r="M7" s="176"/>
    </row>
    <row r="8">
      <c r="A8" s="164">
        <v>4.0</v>
      </c>
      <c r="B8" s="221"/>
      <c r="C8" s="172"/>
      <c r="D8" s="171">
        <v>0.0</v>
      </c>
      <c r="E8" s="171">
        <v>0.0</v>
      </c>
      <c r="F8" s="172"/>
      <c r="G8" s="172"/>
      <c r="H8" s="172"/>
      <c r="I8" s="172"/>
      <c r="J8" s="169">
        <f t="shared" si="1"/>
        <v>0</v>
      </c>
      <c r="L8" s="225">
        <f>COUNTIF(F5:F84,"NON")+L5</f>
        <v>0</v>
      </c>
      <c r="M8" s="176"/>
    </row>
    <row r="9">
      <c r="A9" s="164">
        <v>5.0</v>
      </c>
      <c r="B9" s="221"/>
      <c r="C9" s="172"/>
      <c r="D9" s="171">
        <v>0.0</v>
      </c>
      <c r="E9" s="171">
        <v>0.0</v>
      </c>
      <c r="F9" s="172"/>
      <c r="G9" s="166"/>
      <c r="H9" s="172"/>
      <c r="I9" s="172"/>
      <c r="J9" s="169">
        <f t="shared" si="1"/>
        <v>0</v>
      </c>
    </row>
    <row r="10">
      <c r="A10" s="164">
        <v>6.0</v>
      </c>
      <c r="B10" s="221"/>
      <c r="C10" s="172"/>
      <c r="D10" s="171">
        <v>0.0</v>
      </c>
      <c r="E10" s="171">
        <v>0.0</v>
      </c>
      <c r="F10" s="172"/>
      <c r="G10" s="172"/>
      <c r="H10" s="172"/>
      <c r="I10" s="172"/>
      <c r="J10" s="169">
        <f t="shared" si="1"/>
        <v>0</v>
      </c>
    </row>
    <row r="11">
      <c r="A11" s="164">
        <v>7.0</v>
      </c>
      <c r="B11" s="221"/>
      <c r="C11" s="172"/>
      <c r="D11" s="171">
        <v>0.0</v>
      </c>
      <c r="E11" s="171">
        <v>0.0</v>
      </c>
      <c r="F11" s="172"/>
      <c r="G11" s="172"/>
      <c r="H11" s="172"/>
      <c r="I11" s="172"/>
      <c r="J11" s="169">
        <f t="shared" si="1"/>
        <v>0</v>
      </c>
    </row>
    <row r="12">
      <c r="A12" s="164">
        <v>8.0</v>
      </c>
      <c r="B12" s="221"/>
      <c r="C12" s="172"/>
      <c r="D12" s="171">
        <v>0.0</v>
      </c>
      <c r="E12" s="171">
        <v>0.0</v>
      </c>
      <c r="F12" s="172"/>
      <c r="G12" s="166"/>
      <c r="H12" s="172"/>
      <c r="I12" s="172"/>
      <c r="J12" s="169">
        <f t="shared" si="1"/>
        <v>0</v>
      </c>
    </row>
    <row r="13">
      <c r="A13" s="164">
        <v>9.0</v>
      </c>
      <c r="B13" s="221"/>
      <c r="C13" s="172"/>
      <c r="D13" s="171">
        <v>0.0</v>
      </c>
      <c r="E13" s="171">
        <v>0.0</v>
      </c>
      <c r="F13" s="172"/>
      <c r="G13" s="172"/>
      <c r="H13" s="172"/>
      <c r="I13" s="172"/>
      <c r="J13" s="169">
        <f t="shared" si="1"/>
        <v>0</v>
      </c>
    </row>
    <row r="14">
      <c r="A14" s="164">
        <v>10.0</v>
      </c>
      <c r="B14" s="221"/>
      <c r="C14" s="172"/>
      <c r="D14" s="171">
        <v>0.0</v>
      </c>
      <c r="E14" s="171">
        <v>0.0</v>
      </c>
      <c r="F14" s="172"/>
      <c r="G14" s="172"/>
      <c r="H14" s="172"/>
      <c r="I14" s="172"/>
      <c r="J14" s="169">
        <f t="shared" si="1"/>
        <v>0</v>
      </c>
    </row>
    <row r="15">
      <c r="A15" s="164">
        <v>11.0</v>
      </c>
      <c r="B15" s="221"/>
      <c r="C15" s="172"/>
      <c r="D15" s="171">
        <v>0.0</v>
      </c>
      <c r="E15" s="171">
        <v>0.0</v>
      </c>
      <c r="F15" s="172"/>
      <c r="G15" s="172"/>
      <c r="H15" s="172"/>
      <c r="I15" s="172"/>
      <c r="J15" s="169">
        <f t="shared" si="1"/>
        <v>0</v>
      </c>
    </row>
    <row r="16">
      <c r="A16" s="164">
        <v>12.0</v>
      </c>
      <c r="B16" s="221"/>
      <c r="C16" s="172"/>
      <c r="D16" s="171">
        <v>0.0</v>
      </c>
      <c r="E16" s="171">
        <v>0.0</v>
      </c>
      <c r="F16" s="172"/>
      <c r="G16" s="172"/>
      <c r="H16" s="239"/>
      <c r="I16" s="172"/>
      <c r="J16" s="169">
        <f t="shared" si="1"/>
        <v>0</v>
      </c>
      <c r="L16" s="73" t="s">
        <v>129</v>
      </c>
      <c r="M16" s="73" t="s">
        <v>130</v>
      </c>
      <c r="N16" s="73" t="s">
        <v>131</v>
      </c>
      <c r="O16" s="73" t="s">
        <v>132</v>
      </c>
      <c r="P16" s="73" t="s">
        <v>133</v>
      </c>
    </row>
    <row r="17">
      <c r="A17" s="164">
        <v>13.0</v>
      </c>
      <c r="B17" s="221"/>
      <c r="C17" s="172"/>
      <c r="D17" s="171">
        <v>0.0</v>
      </c>
      <c r="E17" s="171">
        <v>0.0</v>
      </c>
      <c r="F17" s="172"/>
      <c r="G17" s="172"/>
      <c r="H17" s="172"/>
      <c r="I17" s="172"/>
      <c r="J17" s="169">
        <f t="shared" si="1"/>
        <v>0</v>
      </c>
      <c r="L17" s="137">
        <f>COUNTA(F5:F92)</f>
        <v>0</v>
      </c>
      <c r="M17" s="138">
        <f>COUNTIF(F5:F93,"non")</f>
        <v>0</v>
      </c>
      <c r="N17" s="138">
        <f>COUNTIF(F5:F92,"oui")</f>
        <v>0</v>
      </c>
      <c r="O17" s="137" t="str">
        <f>(L17-M17)/L17</f>
        <v>#DIV/0!</v>
      </c>
      <c r="P17" s="139" t="str">
        <f>AVERAGEIF(J$5:J$200,"&lt;&gt;0")</f>
        <v>#DIV/0!</v>
      </c>
    </row>
    <row r="18">
      <c r="A18" s="164">
        <v>14.0</v>
      </c>
      <c r="B18" s="221"/>
      <c r="C18" s="172"/>
      <c r="D18" s="171">
        <v>0.0</v>
      </c>
      <c r="E18" s="171">
        <v>0.0</v>
      </c>
      <c r="F18" s="172"/>
      <c r="G18" s="172"/>
      <c r="H18" s="172"/>
      <c r="I18" s="172"/>
      <c r="J18" s="169">
        <f t="shared" si="1"/>
        <v>0</v>
      </c>
    </row>
    <row r="19">
      <c r="A19" s="164">
        <v>15.0</v>
      </c>
      <c r="B19" s="221"/>
      <c r="C19" s="172"/>
      <c r="D19" s="171">
        <v>0.0</v>
      </c>
      <c r="E19" s="171">
        <v>0.0</v>
      </c>
      <c r="F19" s="172"/>
      <c r="G19" s="172"/>
      <c r="H19" s="172"/>
      <c r="I19" s="172"/>
      <c r="J19" s="169">
        <f t="shared" si="1"/>
        <v>0</v>
      </c>
    </row>
    <row r="20">
      <c r="A20" s="164">
        <v>16.0</v>
      </c>
      <c r="B20" s="221"/>
      <c r="C20" s="172"/>
      <c r="D20" s="171">
        <v>0.0</v>
      </c>
      <c r="E20" s="171">
        <v>0.0</v>
      </c>
      <c r="F20" s="172"/>
      <c r="G20" s="172"/>
      <c r="H20" s="172"/>
      <c r="I20" s="172"/>
      <c r="J20" s="169">
        <f t="shared" si="1"/>
        <v>0</v>
      </c>
    </row>
    <row r="21">
      <c r="A21" s="164">
        <v>17.0</v>
      </c>
      <c r="B21" s="221"/>
      <c r="C21" s="172"/>
      <c r="D21" s="171">
        <v>0.0</v>
      </c>
      <c r="E21" s="171">
        <v>0.0</v>
      </c>
      <c r="F21" s="172"/>
      <c r="G21" s="172"/>
      <c r="H21" s="172"/>
      <c r="I21" s="172"/>
      <c r="J21" s="169">
        <f t="shared" si="1"/>
        <v>0</v>
      </c>
    </row>
    <row r="22">
      <c r="A22" s="164">
        <v>18.0</v>
      </c>
      <c r="B22" s="221"/>
      <c r="C22" s="172"/>
      <c r="D22" s="171">
        <v>0.0</v>
      </c>
      <c r="E22" s="171">
        <v>0.0</v>
      </c>
      <c r="F22" s="172"/>
      <c r="G22" s="172"/>
      <c r="H22" s="172"/>
      <c r="I22" s="172"/>
      <c r="J22" s="169">
        <f t="shared" si="1"/>
        <v>0</v>
      </c>
    </row>
    <row r="23">
      <c r="A23" s="164">
        <v>19.0</v>
      </c>
      <c r="B23" s="221"/>
      <c r="C23" s="172"/>
      <c r="D23" s="171">
        <v>0.0</v>
      </c>
      <c r="E23" s="171">
        <v>0.0</v>
      </c>
      <c r="F23" s="172"/>
      <c r="G23" s="172"/>
      <c r="H23" s="172"/>
      <c r="I23" s="172"/>
      <c r="J23" s="169">
        <f t="shared" si="1"/>
        <v>0</v>
      </c>
    </row>
    <row r="24">
      <c r="A24" s="164">
        <v>20.0</v>
      </c>
      <c r="B24" s="221"/>
      <c r="C24" s="172"/>
      <c r="D24" s="171">
        <v>0.0</v>
      </c>
      <c r="E24" s="171">
        <v>0.0</v>
      </c>
      <c r="F24" s="172"/>
      <c r="G24" s="172"/>
      <c r="H24" s="172"/>
      <c r="I24" s="172"/>
      <c r="J24" s="169">
        <f t="shared" si="1"/>
        <v>0</v>
      </c>
    </row>
    <row r="25">
      <c r="A25" s="164">
        <v>21.0</v>
      </c>
      <c r="B25" s="221"/>
      <c r="C25" s="172"/>
      <c r="D25" s="171">
        <v>0.0</v>
      </c>
      <c r="E25" s="171">
        <v>0.0</v>
      </c>
      <c r="F25" s="172"/>
      <c r="G25" s="172"/>
      <c r="H25" s="172"/>
      <c r="I25" s="172"/>
      <c r="J25" s="169">
        <f t="shared" si="1"/>
        <v>0</v>
      </c>
    </row>
    <row r="26">
      <c r="A26" s="164">
        <v>22.0</v>
      </c>
      <c r="B26" s="221"/>
      <c r="C26" s="172"/>
      <c r="D26" s="171">
        <v>0.0</v>
      </c>
      <c r="E26" s="171">
        <v>0.0</v>
      </c>
      <c r="F26" s="172"/>
      <c r="G26" s="172"/>
      <c r="H26" s="172"/>
      <c r="I26" s="172"/>
      <c r="J26" s="169">
        <f t="shared" si="1"/>
        <v>0</v>
      </c>
    </row>
    <row r="27">
      <c r="A27" s="164">
        <v>23.0</v>
      </c>
      <c r="B27" s="221"/>
      <c r="C27" s="172"/>
      <c r="D27" s="171">
        <v>0.0</v>
      </c>
      <c r="E27" s="171">
        <v>0.0</v>
      </c>
      <c r="F27" s="172"/>
      <c r="G27" s="172"/>
      <c r="H27" s="172"/>
      <c r="I27" s="172"/>
      <c r="J27" s="169">
        <f t="shared" si="1"/>
        <v>0</v>
      </c>
    </row>
    <row r="28">
      <c r="A28" s="164">
        <v>24.0</v>
      </c>
      <c r="B28" s="221"/>
      <c r="C28" s="172"/>
      <c r="D28" s="171">
        <v>0.0</v>
      </c>
      <c r="E28" s="171">
        <v>0.0</v>
      </c>
      <c r="F28" s="172"/>
      <c r="G28" s="172"/>
      <c r="H28" s="172"/>
      <c r="I28" s="172"/>
      <c r="J28" s="169">
        <f t="shared" si="1"/>
        <v>0</v>
      </c>
    </row>
    <row r="29">
      <c r="A29" s="164">
        <v>25.0</v>
      </c>
      <c r="B29" s="221"/>
      <c r="C29" s="172"/>
      <c r="D29" s="171">
        <v>0.0</v>
      </c>
      <c r="E29" s="171">
        <v>0.0</v>
      </c>
      <c r="F29" s="172"/>
      <c r="G29" s="172"/>
      <c r="H29" s="172"/>
      <c r="I29" s="172"/>
      <c r="J29" s="169">
        <f t="shared" si="1"/>
        <v>0</v>
      </c>
    </row>
    <row r="30">
      <c r="A30" s="164">
        <v>26.0</v>
      </c>
      <c r="B30" s="221"/>
      <c r="C30" s="172"/>
      <c r="D30" s="171">
        <v>0.0</v>
      </c>
      <c r="E30" s="171">
        <v>0.0</v>
      </c>
      <c r="F30" s="172"/>
      <c r="G30" s="172"/>
      <c r="H30" s="172"/>
      <c r="I30" s="172"/>
      <c r="J30" s="169">
        <f t="shared" si="1"/>
        <v>0</v>
      </c>
    </row>
    <row r="31">
      <c r="A31" s="164">
        <v>27.0</v>
      </c>
      <c r="B31" s="221"/>
      <c r="C31" s="172"/>
      <c r="D31" s="171">
        <v>0.0</v>
      </c>
      <c r="E31" s="171">
        <v>0.0</v>
      </c>
      <c r="F31" s="172"/>
      <c r="G31" s="172"/>
      <c r="H31" s="172"/>
      <c r="I31" s="172"/>
      <c r="J31" s="169">
        <f t="shared" si="1"/>
        <v>0</v>
      </c>
    </row>
    <row r="32">
      <c r="A32" s="164">
        <v>28.0</v>
      </c>
      <c r="B32" s="221"/>
      <c r="C32" s="172"/>
      <c r="D32" s="171">
        <v>0.0</v>
      </c>
      <c r="E32" s="171">
        <v>0.0</v>
      </c>
      <c r="F32" s="172"/>
      <c r="G32" s="172"/>
      <c r="H32" s="172"/>
      <c r="I32" s="172"/>
      <c r="J32" s="169">
        <f t="shared" si="1"/>
        <v>0</v>
      </c>
    </row>
    <row r="33">
      <c r="A33" s="164">
        <v>29.0</v>
      </c>
      <c r="B33" s="221"/>
      <c r="C33" s="172"/>
      <c r="D33" s="171">
        <v>0.0</v>
      </c>
      <c r="E33" s="171">
        <v>0.0</v>
      </c>
      <c r="F33" s="172"/>
      <c r="G33" s="172"/>
      <c r="H33" s="172"/>
      <c r="I33" s="172"/>
      <c r="J33" s="169">
        <f t="shared" si="1"/>
        <v>0</v>
      </c>
    </row>
    <row r="34">
      <c r="A34" s="164">
        <v>30.0</v>
      </c>
      <c r="B34" s="221"/>
      <c r="C34" s="172"/>
      <c r="D34" s="171">
        <v>0.0</v>
      </c>
      <c r="E34" s="171">
        <v>0.0</v>
      </c>
      <c r="F34" s="172"/>
      <c r="G34" s="172"/>
      <c r="H34" s="172"/>
      <c r="I34" s="172"/>
      <c r="J34" s="169">
        <f t="shared" si="1"/>
        <v>0</v>
      </c>
    </row>
    <row r="35">
      <c r="A35" s="164">
        <v>31.0</v>
      </c>
      <c r="B35" s="221"/>
      <c r="C35" s="172"/>
      <c r="D35" s="171">
        <v>0.0</v>
      </c>
      <c r="E35" s="171">
        <v>0.0</v>
      </c>
      <c r="F35" s="172"/>
      <c r="G35" s="172"/>
      <c r="H35" s="172"/>
      <c r="I35" s="172"/>
      <c r="J35" s="169">
        <f t="shared" si="1"/>
        <v>0</v>
      </c>
    </row>
    <row r="36">
      <c r="A36" s="164">
        <v>32.0</v>
      </c>
      <c r="B36" s="221"/>
      <c r="C36" s="172"/>
      <c r="D36" s="171">
        <v>0.0</v>
      </c>
      <c r="E36" s="171">
        <v>0.0</v>
      </c>
      <c r="F36" s="172"/>
      <c r="G36" s="172"/>
      <c r="H36" s="172"/>
      <c r="I36" s="172"/>
      <c r="J36" s="169">
        <f t="shared" si="1"/>
        <v>0</v>
      </c>
    </row>
    <row r="37">
      <c r="A37" s="164">
        <v>33.0</v>
      </c>
      <c r="B37" s="221"/>
      <c r="C37" s="172"/>
      <c r="D37" s="171">
        <v>0.0</v>
      </c>
      <c r="E37" s="171">
        <v>0.0</v>
      </c>
      <c r="F37" s="172"/>
      <c r="G37" s="172"/>
      <c r="H37" s="172"/>
      <c r="I37" s="172"/>
      <c r="J37" s="169">
        <f t="shared" si="1"/>
        <v>0</v>
      </c>
    </row>
    <row r="38">
      <c r="A38" s="164">
        <v>34.0</v>
      </c>
      <c r="B38" s="221"/>
      <c r="C38" s="172"/>
      <c r="D38" s="171">
        <v>0.0</v>
      </c>
      <c r="E38" s="171">
        <v>0.0</v>
      </c>
      <c r="F38" s="172"/>
      <c r="G38" s="172"/>
      <c r="H38" s="172"/>
      <c r="I38" s="172"/>
      <c r="J38" s="169">
        <f t="shared" si="1"/>
        <v>0</v>
      </c>
    </row>
    <row r="39">
      <c r="A39" s="164">
        <v>35.0</v>
      </c>
      <c r="B39" s="221"/>
      <c r="C39" s="172"/>
      <c r="D39" s="171">
        <v>0.0</v>
      </c>
      <c r="E39" s="171">
        <v>0.0</v>
      </c>
      <c r="F39" s="172"/>
      <c r="G39" s="172"/>
      <c r="H39" s="172"/>
      <c r="I39" s="172"/>
      <c r="J39" s="169">
        <f t="shared" si="1"/>
        <v>0</v>
      </c>
    </row>
    <row r="40">
      <c r="A40" s="164">
        <v>36.0</v>
      </c>
      <c r="B40" s="221"/>
      <c r="C40" s="172"/>
      <c r="D40" s="171">
        <v>0.0</v>
      </c>
      <c r="E40" s="171">
        <v>0.0</v>
      </c>
      <c r="F40" s="172"/>
      <c r="G40" s="172"/>
      <c r="H40" s="172"/>
      <c r="I40" s="172"/>
      <c r="J40" s="169">
        <f t="shared" si="1"/>
        <v>0</v>
      </c>
    </row>
    <row r="41">
      <c r="A41" s="164">
        <v>37.0</v>
      </c>
      <c r="B41" s="221"/>
      <c r="C41" s="172"/>
      <c r="D41" s="171">
        <v>0.0</v>
      </c>
      <c r="E41" s="171">
        <v>0.0</v>
      </c>
      <c r="F41" s="172"/>
      <c r="G41" s="172"/>
      <c r="H41" s="172"/>
      <c r="I41" s="172"/>
      <c r="J41" s="169">
        <f t="shared" si="1"/>
        <v>0</v>
      </c>
    </row>
    <row r="42">
      <c r="A42" s="164">
        <v>38.0</v>
      </c>
      <c r="B42" s="221"/>
      <c r="C42" s="172"/>
      <c r="D42" s="171">
        <v>0.0</v>
      </c>
      <c r="E42" s="171">
        <v>0.0</v>
      </c>
      <c r="F42" s="172"/>
      <c r="G42" s="172"/>
      <c r="H42" s="172"/>
      <c r="I42" s="172"/>
      <c r="J42" s="169">
        <f t="shared" si="1"/>
        <v>0</v>
      </c>
    </row>
    <row r="43">
      <c r="A43" s="164">
        <v>39.0</v>
      </c>
      <c r="B43" s="221"/>
      <c r="C43" s="172"/>
      <c r="D43" s="171">
        <v>0.0</v>
      </c>
      <c r="E43" s="171">
        <v>0.0</v>
      </c>
      <c r="F43" s="172"/>
      <c r="G43" s="172"/>
      <c r="H43" s="172"/>
      <c r="I43" s="172"/>
      <c r="J43" s="169">
        <f t="shared" si="1"/>
        <v>0</v>
      </c>
    </row>
    <row r="44">
      <c r="A44" s="164">
        <v>40.0</v>
      </c>
      <c r="B44" s="221"/>
      <c r="C44" s="172"/>
      <c r="D44" s="171">
        <v>0.0</v>
      </c>
      <c r="E44" s="171">
        <v>0.0</v>
      </c>
      <c r="F44" s="172"/>
      <c r="G44" s="172"/>
      <c r="H44" s="172"/>
      <c r="I44" s="172"/>
      <c r="J44" s="169">
        <f t="shared" si="1"/>
        <v>0</v>
      </c>
    </row>
    <row r="45">
      <c r="A45" s="164">
        <v>41.0</v>
      </c>
      <c r="B45" s="221"/>
      <c r="C45" s="172"/>
      <c r="D45" s="171">
        <v>0.0</v>
      </c>
      <c r="E45" s="171">
        <v>0.0</v>
      </c>
      <c r="F45" s="172"/>
      <c r="G45" s="172"/>
      <c r="H45" s="172"/>
      <c r="I45" s="172"/>
      <c r="J45" s="169">
        <f t="shared" si="1"/>
        <v>0</v>
      </c>
    </row>
    <row r="46">
      <c r="A46" s="164">
        <v>42.0</v>
      </c>
      <c r="B46" s="221"/>
      <c r="C46" s="172"/>
      <c r="D46" s="171">
        <v>0.0</v>
      </c>
      <c r="E46" s="171">
        <v>0.0</v>
      </c>
      <c r="F46" s="172"/>
      <c r="G46" s="172"/>
      <c r="H46" s="172"/>
      <c r="I46" s="172"/>
      <c r="J46" s="169">
        <f t="shared" si="1"/>
        <v>0</v>
      </c>
    </row>
    <row r="47">
      <c r="A47" s="164">
        <v>43.0</v>
      </c>
      <c r="B47" s="221"/>
      <c r="C47" s="172"/>
      <c r="D47" s="171">
        <v>0.0</v>
      </c>
      <c r="E47" s="171">
        <v>0.0</v>
      </c>
      <c r="F47" s="172"/>
      <c r="G47" s="172"/>
      <c r="H47" s="172"/>
      <c r="I47" s="172"/>
      <c r="J47" s="169">
        <f t="shared" si="1"/>
        <v>0</v>
      </c>
    </row>
    <row r="48">
      <c r="A48" s="164">
        <v>44.0</v>
      </c>
      <c r="B48" s="221"/>
      <c r="C48" s="172"/>
      <c r="D48" s="171">
        <v>0.0</v>
      </c>
      <c r="E48" s="171">
        <v>0.0</v>
      </c>
      <c r="F48" s="172"/>
      <c r="G48" s="172"/>
      <c r="H48" s="172"/>
      <c r="I48" s="172"/>
      <c r="J48" s="169">
        <f t="shared" si="1"/>
        <v>0</v>
      </c>
    </row>
    <row r="49">
      <c r="A49" s="164">
        <v>45.0</v>
      </c>
      <c r="B49" s="221"/>
      <c r="C49" s="172"/>
      <c r="D49" s="171">
        <v>0.0</v>
      </c>
      <c r="E49" s="171">
        <v>0.0</v>
      </c>
      <c r="F49" s="172"/>
      <c r="G49" s="172"/>
      <c r="H49" s="172"/>
      <c r="I49" s="172"/>
      <c r="J49" s="169">
        <f t="shared" si="1"/>
        <v>0</v>
      </c>
    </row>
    <row r="50">
      <c r="A50" s="164">
        <v>46.0</v>
      </c>
      <c r="B50" s="221"/>
      <c r="C50" s="172"/>
      <c r="D50" s="171">
        <v>0.0</v>
      </c>
      <c r="E50" s="171">
        <v>0.0</v>
      </c>
      <c r="F50" s="172"/>
      <c r="G50" s="172"/>
      <c r="H50" s="172"/>
      <c r="I50" s="172"/>
      <c r="J50" s="169">
        <f t="shared" si="1"/>
        <v>0</v>
      </c>
    </row>
    <row r="51">
      <c r="A51" s="164">
        <v>47.0</v>
      </c>
      <c r="B51" s="221"/>
      <c r="C51" s="172"/>
      <c r="D51" s="171">
        <v>0.0</v>
      </c>
      <c r="E51" s="171">
        <v>0.0</v>
      </c>
      <c r="F51" s="172"/>
      <c r="G51" s="172"/>
      <c r="H51" s="172"/>
      <c r="I51" s="172"/>
      <c r="J51" s="169">
        <f t="shared" si="1"/>
        <v>0</v>
      </c>
    </row>
    <row r="52">
      <c r="A52" s="164">
        <v>48.0</v>
      </c>
      <c r="B52" s="221"/>
      <c r="C52" s="172"/>
      <c r="D52" s="171">
        <v>0.0</v>
      </c>
      <c r="E52" s="171">
        <v>0.0</v>
      </c>
      <c r="F52" s="172"/>
      <c r="G52" s="172"/>
      <c r="H52" s="172"/>
      <c r="I52" s="172"/>
      <c r="J52" s="169">
        <f t="shared" si="1"/>
        <v>0</v>
      </c>
    </row>
    <row r="53">
      <c r="A53" s="164">
        <v>49.0</v>
      </c>
      <c r="B53" s="221"/>
      <c r="C53" s="172"/>
      <c r="D53" s="171">
        <v>0.0</v>
      </c>
      <c r="E53" s="171">
        <v>0.0</v>
      </c>
      <c r="F53" s="172"/>
      <c r="G53" s="172"/>
      <c r="H53" s="172"/>
      <c r="I53" s="172"/>
      <c r="J53" s="169">
        <f t="shared" si="1"/>
        <v>0</v>
      </c>
    </row>
    <row r="54">
      <c r="A54" s="164">
        <v>50.0</v>
      </c>
      <c r="B54" s="221"/>
      <c r="C54" s="172"/>
      <c r="D54" s="171">
        <v>0.0</v>
      </c>
      <c r="E54" s="171">
        <v>0.0</v>
      </c>
      <c r="F54" s="172"/>
      <c r="G54" s="172"/>
      <c r="H54" s="172"/>
      <c r="I54" s="172"/>
      <c r="J54" s="169">
        <f t="shared" si="1"/>
        <v>0</v>
      </c>
    </row>
    <row r="55">
      <c r="A55" s="164">
        <v>51.0</v>
      </c>
      <c r="B55" s="221"/>
      <c r="C55" s="172"/>
      <c r="D55" s="171">
        <v>0.0</v>
      </c>
      <c r="E55" s="171">
        <v>0.0</v>
      </c>
      <c r="F55" s="172"/>
      <c r="G55" s="172"/>
      <c r="H55" s="172"/>
      <c r="I55" s="172"/>
      <c r="J55" s="169">
        <f t="shared" si="1"/>
        <v>0</v>
      </c>
    </row>
    <row r="56">
      <c r="A56" s="164">
        <v>52.0</v>
      </c>
      <c r="B56" s="221"/>
      <c r="C56" s="172"/>
      <c r="D56" s="171">
        <v>0.0</v>
      </c>
      <c r="E56" s="171">
        <v>0.0</v>
      </c>
      <c r="F56" s="172"/>
      <c r="G56" s="172"/>
      <c r="H56" s="172"/>
      <c r="I56" s="172"/>
      <c r="J56" s="169">
        <f t="shared" si="1"/>
        <v>0</v>
      </c>
    </row>
    <row r="57">
      <c r="A57" s="164">
        <v>53.0</v>
      </c>
      <c r="B57" s="221"/>
      <c r="C57" s="172"/>
      <c r="D57" s="171">
        <v>0.0</v>
      </c>
      <c r="E57" s="171">
        <v>0.0</v>
      </c>
      <c r="F57" s="172"/>
      <c r="G57" s="172"/>
      <c r="H57" s="172"/>
      <c r="I57" s="172"/>
      <c r="J57" s="169">
        <f t="shared" si="1"/>
        <v>0</v>
      </c>
    </row>
    <row r="58">
      <c r="A58" s="164">
        <v>54.0</v>
      </c>
      <c r="B58" s="221"/>
      <c r="C58" s="172"/>
      <c r="D58" s="171">
        <v>0.0</v>
      </c>
      <c r="E58" s="171">
        <v>0.0</v>
      </c>
      <c r="F58" s="172"/>
      <c r="G58" s="172"/>
      <c r="H58" s="172"/>
      <c r="I58" s="172"/>
      <c r="J58" s="169">
        <f t="shared" si="1"/>
        <v>0</v>
      </c>
    </row>
    <row r="59">
      <c r="A59" s="164">
        <v>55.0</v>
      </c>
      <c r="B59" s="221"/>
      <c r="C59" s="172"/>
      <c r="D59" s="171">
        <v>0.0</v>
      </c>
      <c r="E59" s="171">
        <v>0.0</v>
      </c>
      <c r="F59" s="172"/>
      <c r="G59" s="172"/>
      <c r="H59" s="172"/>
      <c r="I59" s="172"/>
      <c r="J59" s="169">
        <f t="shared" si="1"/>
        <v>0</v>
      </c>
    </row>
    <row r="60">
      <c r="A60" s="164">
        <v>56.0</v>
      </c>
      <c r="B60" s="221"/>
      <c r="C60" s="172"/>
      <c r="D60" s="171">
        <v>0.0</v>
      </c>
      <c r="E60" s="171">
        <v>0.0</v>
      </c>
      <c r="F60" s="172"/>
      <c r="G60" s="172"/>
      <c r="H60" s="172"/>
      <c r="I60" s="172"/>
      <c r="J60" s="169">
        <f t="shared" si="1"/>
        <v>0</v>
      </c>
    </row>
    <row r="61">
      <c r="A61" s="164">
        <v>57.0</v>
      </c>
      <c r="B61" s="221"/>
      <c r="C61" s="172"/>
      <c r="D61" s="171">
        <v>0.0</v>
      </c>
      <c r="E61" s="171">
        <v>0.0</v>
      </c>
      <c r="F61" s="172"/>
      <c r="G61" s="172"/>
      <c r="H61" s="172"/>
      <c r="I61" s="172"/>
      <c r="J61" s="169">
        <f t="shared" si="1"/>
        <v>0</v>
      </c>
    </row>
    <row r="62">
      <c r="A62" s="164">
        <v>58.0</v>
      </c>
      <c r="B62" s="221"/>
      <c r="C62" s="172"/>
      <c r="D62" s="171">
        <v>0.0</v>
      </c>
      <c r="E62" s="171">
        <v>0.0</v>
      </c>
      <c r="F62" s="172"/>
      <c r="G62" s="172"/>
      <c r="H62" s="172"/>
      <c r="I62" s="172"/>
      <c r="J62" s="169">
        <f t="shared" si="1"/>
        <v>0</v>
      </c>
    </row>
    <row r="63">
      <c r="A63" s="164">
        <v>59.0</v>
      </c>
      <c r="B63" s="221"/>
      <c r="C63" s="172"/>
      <c r="D63" s="171">
        <v>0.0</v>
      </c>
      <c r="E63" s="171">
        <v>0.0</v>
      </c>
      <c r="F63" s="172"/>
      <c r="G63" s="172"/>
      <c r="H63" s="172"/>
      <c r="I63" s="172"/>
      <c r="J63" s="169">
        <f t="shared" si="1"/>
        <v>0</v>
      </c>
    </row>
    <row r="64">
      <c r="A64" s="164">
        <v>60.0</v>
      </c>
      <c r="B64" s="221"/>
      <c r="C64" s="172"/>
      <c r="D64" s="171">
        <v>0.0</v>
      </c>
      <c r="E64" s="171">
        <v>0.0</v>
      </c>
      <c r="F64" s="172"/>
      <c r="G64" s="172"/>
      <c r="H64" s="172"/>
      <c r="I64" s="172"/>
      <c r="J64" s="169">
        <f t="shared" si="1"/>
        <v>0</v>
      </c>
    </row>
    <row r="65">
      <c r="A65" s="164">
        <v>61.0</v>
      </c>
      <c r="B65" s="221"/>
      <c r="C65" s="172"/>
      <c r="D65" s="171">
        <v>0.0</v>
      </c>
      <c r="E65" s="171">
        <v>0.0</v>
      </c>
      <c r="F65" s="172"/>
      <c r="G65" s="172"/>
      <c r="H65" s="172"/>
      <c r="I65" s="172"/>
      <c r="J65" s="169">
        <f t="shared" si="1"/>
        <v>0</v>
      </c>
    </row>
    <row r="66">
      <c r="A66" s="164">
        <v>62.0</v>
      </c>
      <c r="B66" s="221"/>
      <c r="C66" s="172"/>
      <c r="D66" s="171">
        <v>0.0</v>
      </c>
      <c r="E66" s="171">
        <v>0.0</v>
      </c>
      <c r="F66" s="172"/>
      <c r="G66" s="172"/>
      <c r="H66" s="172"/>
      <c r="I66" s="172"/>
      <c r="J66" s="169">
        <f t="shared" si="1"/>
        <v>0</v>
      </c>
    </row>
    <row r="67">
      <c r="A67" s="164">
        <v>63.0</v>
      </c>
      <c r="B67" s="221"/>
      <c r="C67" s="172"/>
      <c r="D67" s="171">
        <v>0.0</v>
      </c>
      <c r="E67" s="171">
        <v>0.0</v>
      </c>
      <c r="F67" s="172"/>
      <c r="G67" s="172"/>
      <c r="H67" s="172"/>
      <c r="I67" s="172"/>
      <c r="J67" s="169">
        <f t="shared" si="1"/>
        <v>0</v>
      </c>
    </row>
    <row r="68">
      <c r="A68" s="164">
        <v>64.0</v>
      </c>
      <c r="B68" s="221"/>
      <c r="C68" s="172"/>
      <c r="D68" s="171">
        <v>0.0</v>
      </c>
      <c r="E68" s="171">
        <v>0.0</v>
      </c>
      <c r="F68" s="172"/>
      <c r="G68" s="172"/>
      <c r="H68" s="172"/>
      <c r="I68" s="172"/>
      <c r="J68" s="169">
        <f t="shared" si="1"/>
        <v>0</v>
      </c>
    </row>
    <row r="69">
      <c r="A69" s="164">
        <v>65.0</v>
      </c>
      <c r="B69" s="221"/>
      <c r="C69" s="172"/>
      <c r="D69" s="171">
        <v>0.0</v>
      </c>
      <c r="E69" s="171">
        <v>0.0</v>
      </c>
      <c r="F69" s="172"/>
      <c r="G69" s="172"/>
      <c r="H69" s="172"/>
      <c r="I69" s="172"/>
      <c r="J69" s="169">
        <f t="shared" si="1"/>
        <v>0</v>
      </c>
    </row>
    <row r="70">
      <c r="A70" s="164">
        <v>66.0</v>
      </c>
      <c r="B70" s="221"/>
      <c r="C70" s="172"/>
      <c r="D70" s="171">
        <v>0.0</v>
      </c>
      <c r="E70" s="171">
        <v>0.0</v>
      </c>
      <c r="F70" s="172"/>
      <c r="G70" s="172"/>
      <c r="H70" s="172"/>
      <c r="I70" s="172"/>
      <c r="J70" s="169">
        <f t="shared" si="1"/>
        <v>0</v>
      </c>
    </row>
    <row r="71">
      <c r="A71" s="164">
        <v>67.0</v>
      </c>
      <c r="B71" s="221"/>
      <c r="C71" s="172"/>
      <c r="D71" s="171">
        <v>0.0</v>
      </c>
      <c r="E71" s="171">
        <v>0.0</v>
      </c>
      <c r="F71" s="172"/>
      <c r="G71" s="172"/>
      <c r="H71" s="172"/>
      <c r="I71" s="172"/>
      <c r="J71" s="169">
        <f t="shared" si="1"/>
        <v>0</v>
      </c>
    </row>
    <row r="72">
      <c r="A72" s="164">
        <v>68.0</v>
      </c>
      <c r="B72" s="221"/>
      <c r="C72" s="172"/>
      <c r="D72" s="171">
        <v>0.0</v>
      </c>
      <c r="E72" s="171">
        <v>0.0</v>
      </c>
      <c r="F72" s="172"/>
      <c r="G72" s="172"/>
      <c r="H72" s="172"/>
      <c r="I72" s="172"/>
      <c r="J72" s="169">
        <f t="shared" si="1"/>
        <v>0</v>
      </c>
    </row>
    <row r="73">
      <c r="A73" s="164">
        <v>69.0</v>
      </c>
      <c r="B73" s="221"/>
      <c r="C73" s="172"/>
      <c r="D73" s="171">
        <v>0.0</v>
      </c>
      <c r="E73" s="171">
        <v>0.0</v>
      </c>
      <c r="F73" s="172"/>
      <c r="G73" s="172"/>
      <c r="H73" s="172"/>
      <c r="I73" s="172"/>
      <c r="J73" s="169">
        <f t="shared" si="1"/>
        <v>0</v>
      </c>
    </row>
    <row r="74">
      <c r="A74" s="164">
        <v>70.0</v>
      </c>
      <c r="B74" s="221"/>
      <c r="C74" s="172"/>
      <c r="D74" s="171">
        <v>0.0</v>
      </c>
      <c r="E74" s="171">
        <v>0.0</v>
      </c>
      <c r="F74" s="172"/>
      <c r="G74" s="172"/>
      <c r="H74" s="172"/>
      <c r="I74" s="172"/>
      <c r="J74" s="169">
        <f t="shared" si="1"/>
        <v>0</v>
      </c>
    </row>
    <row r="75">
      <c r="A75" s="164">
        <v>71.0</v>
      </c>
      <c r="B75" s="221"/>
      <c r="C75" s="172"/>
      <c r="D75" s="171">
        <v>0.0</v>
      </c>
      <c r="E75" s="171">
        <v>0.0</v>
      </c>
      <c r="F75" s="172"/>
      <c r="G75" s="172"/>
      <c r="H75" s="172"/>
      <c r="I75" s="172"/>
      <c r="J75" s="169">
        <f t="shared" si="1"/>
        <v>0</v>
      </c>
    </row>
    <row r="76">
      <c r="A76" s="164">
        <v>72.0</v>
      </c>
      <c r="B76" s="221"/>
      <c r="C76" s="172"/>
      <c r="D76" s="171">
        <v>0.0</v>
      </c>
      <c r="E76" s="171">
        <v>0.0</v>
      </c>
      <c r="F76" s="172"/>
      <c r="G76" s="172"/>
      <c r="H76" s="172"/>
      <c r="I76" s="172"/>
      <c r="J76" s="169">
        <f t="shared" si="1"/>
        <v>0</v>
      </c>
    </row>
    <row r="77">
      <c r="A77" s="164">
        <v>73.0</v>
      </c>
      <c r="B77" s="221"/>
      <c r="C77" s="172"/>
      <c r="D77" s="171">
        <v>0.0</v>
      </c>
      <c r="E77" s="171">
        <v>0.0</v>
      </c>
      <c r="F77" s="172"/>
      <c r="G77" s="172"/>
      <c r="H77" s="172"/>
      <c r="I77" s="172"/>
      <c r="J77" s="169">
        <f t="shared" si="1"/>
        <v>0</v>
      </c>
    </row>
    <row r="78">
      <c r="A78" s="164">
        <v>74.0</v>
      </c>
      <c r="B78" s="221"/>
      <c r="C78" s="172"/>
      <c r="D78" s="171">
        <v>0.0</v>
      </c>
      <c r="E78" s="171">
        <v>0.0</v>
      </c>
      <c r="F78" s="172"/>
      <c r="G78" s="172"/>
      <c r="H78" s="172"/>
      <c r="I78" s="172"/>
      <c r="J78" s="169">
        <f t="shared" si="1"/>
        <v>0</v>
      </c>
    </row>
    <row r="79">
      <c r="A79" s="164">
        <v>75.0</v>
      </c>
      <c r="B79" s="221"/>
      <c r="C79" s="172"/>
      <c r="D79" s="171">
        <v>0.0</v>
      </c>
      <c r="E79" s="171">
        <v>0.0</v>
      </c>
      <c r="F79" s="172"/>
      <c r="G79" s="172"/>
      <c r="H79" s="172"/>
      <c r="I79" s="172"/>
      <c r="J79" s="169">
        <f t="shared" si="1"/>
        <v>0</v>
      </c>
    </row>
    <row r="80">
      <c r="A80" s="164">
        <v>76.0</v>
      </c>
      <c r="B80" s="221"/>
      <c r="C80" s="172"/>
      <c r="D80" s="171">
        <v>0.0</v>
      </c>
      <c r="E80" s="171">
        <v>0.0</v>
      </c>
      <c r="F80" s="172"/>
      <c r="G80" s="172"/>
      <c r="H80" s="172"/>
      <c r="I80" s="172"/>
      <c r="J80" s="169">
        <f t="shared" si="1"/>
        <v>0</v>
      </c>
    </row>
    <row r="81">
      <c r="A81" s="164">
        <v>77.0</v>
      </c>
      <c r="B81" s="221"/>
      <c r="C81" s="172"/>
      <c r="D81" s="171">
        <v>0.0</v>
      </c>
      <c r="E81" s="171">
        <v>0.0</v>
      </c>
      <c r="F81" s="172"/>
      <c r="G81" s="172"/>
      <c r="H81" s="172"/>
      <c r="I81" s="172"/>
      <c r="J81" s="169">
        <f t="shared" si="1"/>
        <v>0</v>
      </c>
    </row>
    <row r="82">
      <c r="A82" s="138">
        <v>78.0</v>
      </c>
      <c r="B82" s="221"/>
      <c r="C82" s="172"/>
      <c r="D82" s="171">
        <v>0.0</v>
      </c>
      <c r="E82" s="171">
        <v>0.0</v>
      </c>
      <c r="F82" s="172"/>
      <c r="G82" s="172"/>
      <c r="H82" s="172"/>
      <c r="I82" s="172"/>
      <c r="J82" s="169">
        <f t="shared" si="1"/>
        <v>0</v>
      </c>
    </row>
    <row r="83">
      <c r="A83" s="202">
        <v>79.0</v>
      </c>
      <c r="B83" s="221"/>
      <c r="C83" s="172"/>
      <c r="D83" s="171">
        <v>0.0</v>
      </c>
      <c r="E83" s="171">
        <v>0.0</v>
      </c>
      <c r="F83" s="172"/>
      <c r="G83" s="172"/>
      <c r="H83" s="172"/>
      <c r="I83" s="172"/>
      <c r="J83" s="169">
        <f t="shared" si="1"/>
        <v>0</v>
      </c>
    </row>
    <row r="84">
      <c r="A84" s="138">
        <v>80.0</v>
      </c>
      <c r="B84" s="221"/>
      <c r="C84" s="172"/>
      <c r="D84" s="171">
        <v>0.0</v>
      </c>
      <c r="E84" s="171">
        <v>0.0</v>
      </c>
      <c r="F84" s="172"/>
      <c r="G84" s="172"/>
      <c r="H84" s="172"/>
      <c r="I84" s="172"/>
      <c r="J84" s="169">
        <f t="shared" si="1"/>
        <v>0</v>
      </c>
    </row>
    <row r="85">
      <c r="A85" s="202">
        <v>81.0</v>
      </c>
      <c r="B85" s="221"/>
      <c r="C85" s="172"/>
      <c r="D85" s="171">
        <v>0.0</v>
      </c>
      <c r="E85" s="171">
        <v>0.0</v>
      </c>
      <c r="F85" s="172"/>
      <c r="G85" s="172"/>
      <c r="H85" s="172"/>
      <c r="I85" s="172"/>
      <c r="J85" s="169">
        <f t="shared" si="1"/>
        <v>0</v>
      </c>
    </row>
    <row r="86">
      <c r="A86" s="138">
        <v>82.0</v>
      </c>
      <c r="B86" s="221"/>
      <c r="C86" s="172"/>
      <c r="D86" s="171">
        <v>0.0</v>
      </c>
      <c r="E86" s="171">
        <v>0.0</v>
      </c>
      <c r="F86" s="172"/>
      <c r="G86" s="172"/>
      <c r="H86" s="172"/>
      <c r="I86" s="172"/>
      <c r="J86" s="169">
        <f t="shared" si="1"/>
        <v>0</v>
      </c>
    </row>
    <row r="87">
      <c r="A87" s="202">
        <v>83.0</v>
      </c>
      <c r="B87" s="221"/>
      <c r="C87" s="172"/>
      <c r="D87" s="171">
        <v>0.0</v>
      </c>
      <c r="E87" s="171">
        <v>0.0</v>
      </c>
      <c r="F87" s="172"/>
      <c r="G87" s="172"/>
      <c r="H87" s="172"/>
      <c r="I87" s="172"/>
      <c r="J87" s="169">
        <f t="shared" si="1"/>
        <v>0</v>
      </c>
    </row>
    <row r="88">
      <c r="A88" s="138">
        <v>84.0</v>
      </c>
      <c r="B88" s="221"/>
      <c r="C88" s="172"/>
      <c r="D88" s="171">
        <v>0.0</v>
      </c>
      <c r="E88" s="171">
        <v>0.0</v>
      </c>
      <c r="F88" s="172"/>
      <c r="G88" s="172"/>
      <c r="H88" s="172"/>
      <c r="I88" s="172"/>
      <c r="J88" s="169">
        <f t="shared" si="1"/>
        <v>0</v>
      </c>
    </row>
    <row r="89">
      <c r="A89" s="202">
        <v>85.0</v>
      </c>
      <c r="B89" s="221"/>
      <c r="C89" s="172"/>
      <c r="D89" s="171">
        <v>0.0</v>
      </c>
      <c r="E89" s="171">
        <v>0.0</v>
      </c>
      <c r="F89" s="172"/>
      <c r="G89" s="172"/>
      <c r="H89" s="172"/>
      <c r="I89" s="172"/>
      <c r="J89" s="169">
        <f t="shared" si="1"/>
        <v>0</v>
      </c>
    </row>
    <row r="90">
      <c r="A90" s="138">
        <v>86.0</v>
      </c>
      <c r="B90" s="221"/>
      <c r="C90" s="172"/>
      <c r="D90" s="171">
        <v>0.0</v>
      </c>
      <c r="E90" s="171">
        <v>0.0</v>
      </c>
      <c r="F90" s="172"/>
      <c r="G90" s="172"/>
      <c r="H90" s="172"/>
      <c r="I90" s="172"/>
      <c r="J90" s="169">
        <f t="shared" si="1"/>
        <v>0</v>
      </c>
    </row>
    <row r="91">
      <c r="A91" s="202">
        <v>87.0</v>
      </c>
      <c r="B91" s="221"/>
      <c r="C91" s="172"/>
      <c r="D91" s="171">
        <v>0.0</v>
      </c>
      <c r="E91" s="171">
        <v>0.0</v>
      </c>
      <c r="F91" s="172"/>
      <c r="G91" s="172"/>
      <c r="H91" s="172"/>
      <c r="I91" s="172"/>
      <c r="J91" s="169">
        <f t="shared" si="1"/>
        <v>0</v>
      </c>
    </row>
    <row r="92">
      <c r="A92" s="138">
        <v>88.0</v>
      </c>
      <c r="B92" s="221"/>
      <c r="C92" s="172"/>
      <c r="D92" s="171">
        <v>0.0</v>
      </c>
      <c r="E92" s="171">
        <v>0.0</v>
      </c>
      <c r="F92" s="172"/>
      <c r="G92" s="172"/>
      <c r="H92" s="172"/>
      <c r="I92" s="172"/>
      <c r="J92" s="169">
        <f t="shared" si="1"/>
        <v>0</v>
      </c>
    </row>
    <row r="93">
      <c r="A93" s="202">
        <v>89.0</v>
      </c>
      <c r="B93" s="221"/>
      <c r="C93" s="172"/>
      <c r="D93" s="171">
        <v>0.0</v>
      </c>
      <c r="E93" s="171">
        <v>0.0</v>
      </c>
      <c r="F93" s="172"/>
      <c r="G93" s="172"/>
      <c r="H93" s="172"/>
      <c r="I93" s="172"/>
      <c r="J93" s="169">
        <f t="shared" si="1"/>
        <v>0</v>
      </c>
    </row>
    <row r="94">
      <c r="A94" s="138">
        <v>90.0</v>
      </c>
      <c r="B94" s="221"/>
      <c r="C94" s="172"/>
      <c r="D94" s="171">
        <v>0.0</v>
      </c>
      <c r="E94" s="171">
        <v>0.0</v>
      </c>
      <c r="F94" s="172"/>
      <c r="G94" s="172"/>
      <c r="H94" s="172"/>
      <c r="I94" s="172"/>
      <c r="J94" s="169">
        <f t="shared" si="1"/>
        <v>0</v>
      </c>
    </row>
    <row r="95">
      <c r="A95" s="202">
        <v>91.0</v>
      </c>
      <c r="B95" s="221"/>
      <c r="C95" s="172"/>
      <c r="D95" s="171">
        <v>0.0</v>
      </c>
      <c r="E95" s="171">
        <v>0.0</v>
      </c>
      <c r="F95" s="172"/>
      <c r="G95" s="172"/>
      <c r="H95" s="172"/>
      <c r="I95" s="172"/>
      <c r="J95" s="169">
        <f t="shared" si="1"/>
        <v>0</v>
      </c>
    </row>
    <row r="96">
      <c r="A96" s="202">
        <v>92.0</v>
      </c>
      <c r="B96" s="221"/>
      <c r="C96" s="172"/>
      <c r="D96" s="171">
        <v>0.0</v>
      </c>
      <c r="E96" s="171">
        <v>0.0</v>
      </c>
      <c r="F96" s="172"/>
      <c r="G96" s="172"/>
      <c r="H96" s="172"/>
      <c r="I96" s="172"/>
      <c r="J96" s="169">
        <f t="shared" si="1"/>
        <v>0</v>
      </c>
    </row>
  </sheetData>
  <mergeCells count="11">
    <mergeCell ref="G3:G4"/>
    <mergeCell ref="H3:H4"/>
    <mergeCell ref="I3:I4"/>
    <mergeCell ref="J3:J4"/>
    <mergeCell ref="A1:J2"/>
    <mergeCell ref="A3:A4"/>
    <mergeCell ref="B3:B4"/>
    <mergeCell ref="C3:C4"/>
    <mergeCell ref="D3:D4"/>
    <mergeCell ref="E3:E4"/>
    <mergeCell ref="F3:F4"/>
  </mergeCells>
  <conditionalFormatting sqref="F5:F500">
    <cfRule type="containsText" dxfId="7" priority="1" operator="containsText" text="oui">
      <formula>NOT(ISERROR(SEARCH(("oui"),(F5))))</formula>
    </cfRule>
  </conditionalFormatting>
  <conditionalFormatting sqref="F5:F500">
    <cfRule type="containsText" dxfId="6" priority="2" operator="containsText" text="non">
      <formula>NOT(ISERROR(SEARCH(("non"),(F5))))</formula>
    </cfRule>
  </conditionalFormatting>
  <conditionalFormatting sqref="G5:G96">
    <cfRule type="cellIs" dxfId="4" priority="3" operator="notBetween">
      <formula>4.8</formula>
      <formula>4.98</formula>
    </cfRule>
  </conditionalFormatting>
  <conditionalFormatting sqref="G5:G96">
    <cfRule type="cellIs" dxfId="12" priority="4" operator="between">
      <formula>4.8</formula>
      <formula>4.98</formula>
    </cfRule>
  </conditionalFormatting>
  <conditionalFormatting sqref="H5:H96">
    <cfRule type="cellIs" dxfId="4" priority="5" operator="notBetween">
      <formula>11.8</formula>
      <formula>12.2</formula>
    </cfRule>
  </conditionalFormatting>
  <conditionalFormatting sqref="H5:H96">
    <cfRule type="cellIs" dxfId="12" priority="6" operator="between">
      <formula>11.8</formula>
      <formula>12.2</formula>
    </cfRule>
  </conditionalFormatting>
  <conditionalFormatting sqref="I5:I96">
    <cfRule type="cellIs" dxfId="4" priority="7" operator="notBetween">
      <formula>9.2</formula>
      <formula>9.6</formula>
    </cfRule>
  </conditionalFormatting>
  <conditionalFormatting sqref="I5:I96">
    <cfRule type="cellIs" dxfId="12" priority="8" operator="between">
      <formula>9.2</formula>
      <formula>9.6</formula>
    </cfRule>
  </conditionalFormatting>
  <conditionalFormatting sqref="P17">
    <cfRule type="colorScale" priority="9">
      <colorScale>
        <cfvo type="formula" val="0"/>
        <cfvo type="percentile" val="50"/>
        <cfvo type="formula" val="00:07:30"/>
        <color rgb="FF00FF00"/>
        <color rgb="FFFF9900"/>
        <color rgb="FFFF0000"/>
      </colorScale>
    </cfRule>
  </conditionalFormatting>
  <conditionalFormatting sqref="O17">
    <cfRule type="cellIs" dxfId="12" priority="10" operator="between">
      <formula>0.95</formula>
      <formula>1</formula>
    </cfRule>
  </conditionalFormatting>
  <conditionalFormatting sqref="O17">
    <cfRule type="cellIs" dxfId="4" priority="11" operator="lessThan">
      <formula>0.95</formula>
    </cfRule>
  </conditionalFormatting>
  <dataValidations>
    <dataValidation type="list" allowBlank="1" showErrorMessage="1" sqref="F5:F96">
      <formula1>"OUI,NON"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16.88"/>
    <col customWidth="1" min="6" max="6" width="15.5"/>
    <col customWidth="1" min="7" max="7" width="14.25"/>
    <col customWidth="1" min="8" max="8" width="14.75"/>
    <col customWidth="1" min="9" max="9" width="19.0"/>
    <col customWidth="1" min="10" max="10" width="28.0"/>
    <col customWidth="1" min="12" max="12" width="27.5"/>
  </cols>
  <sheetData>
    <row r="2">
      <c r="B2" s="73" t="s">
        <v>95</v>
      </c>
      <c r="C2" s="74">
        <f>C38-(C39:G39)</f>
        <v>0.75</v>
      </c>
    </row>
    <row r="4" ht="34.5" customHeight="1">
      <c r="B4" s="75" t="s">
        <v>1</v>
      </c>
      <c r="C4" s="60" t="s">
        <v>2</v>
      </c>
      <c r="D4" s="61" t="s">
        <v>85</v>
      </c>
      <c r="E4" s="61" t="s">
        <v>224</v>
      </c>
      <c r="F4" s="62" t="s">
        <v>225</v>
      </c>
      <c r="G4" s="128" t="s">
        <v>226</v>
      </c>
      <c r="H4" s="128" t="s">
        <v>227</v>
      </c>
      <c r="I4" s="61" t="s">
        <v>91</v>
      </c>
      <c r="J4" s="63" t="s">
        <v>92</v>
      </c>
      <c r="K4" s="64"/>
      <c r="L4" s="61" t="s">
        <v>228</v>
      </c>
    </row>
    <row r="5">
      <c r="B5" s="76" t="s">
        <v>14</v>
      </c>
      <c r="C5" s="77">
        <v>10.0</v>
      </c>
      <c r="D5" s="240"/>
      <c r="E5" s="66">
        <v>44.0</v>
      </c>
      <c r="F5" s="67">
        <f>'Support ph10'!L17</f>
        <v>3</v>
      </c>
      <c r="G5" s="14">
        <f>'Support ph10'!M17</f>
        <v>1</v>
      </c>
      <c r="H5" s="80">
        <f>'Support ph10'!O17</f>
        <v>0.6666666667</v>
      </c>
      <c r="I5" s="81">
        <f>'Support ph10'!P17</f>
        <v>0.007638888889</v>
      </c>
      <c r="J5" s="71">
        <f t="shared" ref="J5:J14" si="1">(E5-F5)*I5</f>
        <v>0.3131944444</v>
      </c>
      <c r="K5" s="71" t="str">
        <f t="shared" ref="K5:K14" si="2">IF(J5&gt;=$C$40,"retard","ok")</f>
        <v>ok</v>
      </c>
      <c r="L5" s="72">
        <f t="shared" ref="L5:L14" si="3">F5/E5</f>
        <v>0.06818181818</v>
      </c>
    </row>
    <row r="6">
      <c r="B6" s="82"/>
      <c r="C6" s="65">
        <v>15.0</v>
      </c>
      <c r="D6" s="240"/>
      <c r="E6" s="66">
        <v>37.0</v>
      </c>
      <c r="F6" s="67">
        <f>'Support ph15'!J17</f>
        <v>7</v>
      </c>
      <c r="G6" s="14">
        <f>'Support ph15'!K17</f>
        <v>0</v>
      </c>
      <c r="H6" s="80">
        <f>'Support ph15'!M17</f>
        <v>1</v>
      </c>
      <c r="I6" s="81">
        <f>'Support ph15'!N17</f>
        <v>0.00505952381</v>
      </c>
      <c r="J6" s="71">
        <f t="shared" si="1"/>
        <v>0.1517857143</v>
      </c>
      <c r="K6" s="71" t="str">
        <f t="shared" si="2"/>
        <v>ok</v>
      </c>
      <c r="L6" s="72">
        <f t="shared" si="3"/>
        <v>0.1891891892</v>
      </c>
    </row>
    <row r="7">
      <c r="B7" s="82"/>
      <c r="C7" s="65">
        <v>20.0</v>
      </c>
      <c r="D7" s="240"/>
      <c r="E7" s="66">
        <v>26.0</v>
      </c>
      <c r="F7" s="67">
        <f>'Support ph20'!M7</f>
        <v>4</v>
      </c>
      <c r="G7" s="14">
        <f>'Support ph20'!N7</f>
        <v>0</v>
      </c>
      <c r="H7" s="80">
        <f>'Support ph20'!P7</f>
        <v>1</v>
      </c>
      <c r="I7" s="81">
        <f>'Support ph20'!Q7</f>
        <v>0.01041666667</v>
      </c>
      <c r="J7" s="71">
        <f t="shared" si="1"/>
        <v>0.2291666667</v>
      </c>
      <c r="K7" s="71" t="str">
        <f t="shared" si="2"/>
        <v>ok</v>
      </c>
      <c r="L7" s="72">
        <f t="shared" si="3"/>
        <v>0.1538461538</v>
      </c>
    </row>
    <row r="8">
      <c r="B8" s="31"/>
      <c r="C8" s="65">
        <v>30.0</v>
      </c>
      <c r="D8" s="241"/>
      <c r="E8" s="66">
        <v>26.0</v>
      </c>
      <c r="F8" s="67">
        <f>'Support ph30'!L16</f>
        <v>0</v>
      </c>
      <c r="G8" s="14">
        <f>'Support ph30'!M16</f>
        <v>0</v>
      </c>
      <c r="H8" s="80" t="str">
        <f>'Support ph30'!O16</f>
        <v>#DIV/0!</v>
      </c>
      <c r="I8" s="81" t="str">
        <f>'Support ph30'!P16</f>
        <v>#DIV/0!</v>
      </c>
      <c r="J8" s="71" t="str">
        <f t="shared" si="1"/>
        <v>#DIV/0!</v>
      </c>
      <c r="K8" s="71" t="str">
        <f t="shared" si="2"/>
        <v>#DIV/0!</v>
      </c>
      <c r="L8" s="72">
        <f t="shared" si="3"/>
        <v>0</v>
      </c>
    </row>
    <row r="9">
      <c r="B9" s="58" t="s">
        <v>33</v>
      </c>
      <c r="C9" s="65">
        <v>20.0</v>
      </c>
      <c r="D9" s="31"/>
      <c r="E9" s="66">
        <v>23.0</v>
      </c>
      <c r="F9" s="67">
        <f>'Equerre ph20'!L17</f>
        <v>0</v>
      </c>
      <c r="G9" s="14">
        <f>'Equerre ph20'!M17</f>
        <v>0</v>
      </c>
      <c r="H9" s="80" t="str">
        <f>'Equerre ph20'!O17</f>
        <v>#DIV/0!</v>
      </c>
      <c r="I9" s="81" t="str">
        <f>'Equerre ph20'!P17</f>
        <v>#DIV/0!</v>
      </c>
      <c r="J9" s="71" t="str">
        <f t="shared" si="1"/>
        <v>#DIV/0!</v>
      </c>
      <c r="K9" s="71" t="str">
        <f t="shared" si="2"/>
        <v>#DIV/0!</v>
      </c>
      <c r="L9" s="72">
        <f t="shared" si="3"/>
        <v>0</v>
      </c>
    </row>
    <row r="10">
      <c r="B10" s="58" t="s">
        <v>14</v>
      </c>
      <c r="C10" s="65">
        <v>40.0</v>
      </c>
      <c r="D10" s="242"/>
      <c r="E10" s="66">
        <v>26.0</v>
      </c>
      <c r="F10" s="67">
        <f>'Support ph40'!L17</f>
        <v>0</v>
      </c>
      <c r="G10" s="14">
        <f>'Support ph40'!M17</f>
        <v>0</v>
      </c>
      <c r="H10" s="80" t="str">
        <f>'Support ph40'!O17</f>
        <v>#DIV/0!</v>
      </c>
      <c r="I10" s="81" t="str">
        <f>'Support ph40'!P17</f>
        <v>#DIV/0!</v>
      </c>
      <c r="J10" s="71" t="str">
        <f t="shared" si="1"/>
        <v>#DIV/0!</v>
      </c>
      <c r="K10" s="71" t="str">
        <f t="shared" si="2"/>
        <v>#DIV/0!</v>
      </c>
      <c r="L10" s="72">
        <f t="shared" si="3"/>
        <v>0</v>
      </c>
    </row>
    <row r="11">
      <c r="B11" s="58" t="s">
        <v>33</v>
      </c>
      <c r="C11" s="65">
        <v>30.0</v>
      </c>
      <c r="D11" s="30"/>
      <c r="E11" s="66">
        <v>23.0</v>
      </c>
      <c r="F11" s="67">
        <f>'Equerre ph30'!L17</f>
        <v>0</v>
      </c>
      <c r="G11" s="14">
        <f>'Equerre ph30'!M17</f>
        <v>0</v>
      </c>
      <c r="H11" s="80" t="str">
        <f>'Equerre ph30'!O17</f>
        <v>#DIV/0!</v>
      </c>
      <c r="I11" s="81" t="str">
        <f>'Equerre ph30'!P17</f>
        <v>#DIV/0!</v>
      </c>
      <c r="J11" s="71" t="str">
        <f t="shared" si="1"/>
        <v>#DIV/0!</v>
      </c>
      <c r="K11" s="71" t="str">
        <f t="shared" si="2"/>
        <v>#DIV/0!</v>
      </c>
      <c r="L11" s="72">
        <f t="shared" si="3"/>
        <v>0</v>
      </c>
    </row>
    <row r="12">
      <c r="B12" s="86" t="s">
        <v>14</v>
      </c>
      <c r="C12" s="65">
        <v>50.0</v>
      </c>
      <c r="D12" s="243"/>
      <c r="E12" s="66">
        <v>23.0</v>
      </c>
      <c r="F12" s="67">
        <f>'Support ph50'!L17</f>
        <v>0</v>
      </c>
      <c r="G12" s="14">
        <f>'Support ph50'!M17</f>
        <v>0</v>
      </c>
      <c r="H12" s="80" t="str">
        <f>'Support ph50'!O17</f>
        <v>#DIV/0!</v>
      </c>
      <c r="I12" s="81" t="str">
        <f>'Support ph50'!P17</f>
        <v>#DIV/0!</v>
      </c>
      <c r="J12" s="71" t="str">
        <f t="shared" si="1"/>
        <v>#DIV/0!</v>
      </c>
      <c r="K12" s="71" t="str">
        <f t="shared" si="2"/>
        <v>#DIV/0!</v>
      </c>
      <c r="L12" s="72">
        <f t="shared" si="3"/>
        <v>0</v>
      </c>
    </row>
    <row r="13">
      <c r="B13" s="31"/>
      <c r="C13" s="65">
        <v>60.0</v>
      </c>
      <c r="D13" s="244" t="s">
        <v>96</v>
      </c>
      <c r="E13" s="66">
        <v>23.0</v>
      </c>
      <c r="F13" s="67">
        <f>'Support ph60'!L17</f>
        <v>0</v>
      </c>
      <c r="G13" s="14">
        <f>'Support ph60'!M17</f>
        <v>0</v>
      </c>
      <c r="H13" s="80" t="str">
        <f>'Support ph60'!O17</f>
        <v>#DIV/0!</v>
      </c>
      <c r="I13" s="81" t="str">
        <f>'Support ph60'!P17</f>
        <v>#DIV/0!</v>
      </c>
      <c r="J13" s="71" t="str">
        <f t="shared" si="1"/>
        <v>#DIV/0!</v>
      </c>
      <c r="K13" s="71" t="str">
        <f t="shared" si="2"/>
        <v>#DIV/0!</v>
      </c>
      <c r="L13" s="72">
        <f t="shared" si="3"/>
        <v>0</v>
      </c>
    </row>
    <row r="14">
      <c r="B14" s="86" t="s">
        <v>33</v>
      </c>
      <c r="C14" s="65">
        <v>0.0</v>
      </c>
      <c r="D14" s="243"/>
      <c r="E14" s="66">
        <v>28.0</v>
      </c>
      <c r="F14" s="67">
        <f>'Equerre ph0'!L11</f>
        <v>24</v>
      </c>
      <c r="G14" s="14">
        <f>'Equerre ph0'!M11</f>
        <v>0</v>
      </c>
      <c r="H14" s="80">
        <f>'Equerre ph0'!O11</f>
        <v>1</v>
      </c>
      <c r="I14" s="81">
        <f>'Equerre ph0'!P11</f>
        <v>0.003501157407</v>
      </c>
      <c r="J14" s="71">
        <f t="shared" si="1"/>
        <v>0.01400462963</v>
      </c>
      <c r="K14" s="71" t="str">
        <f t="shared" si="2"/>
        <v>ok</v>
      </c>
      <c r="L14" s="89">
        <f t="shared" si="3"/>
        <v>0.8571428571</v>
      </c>
    </row>
    <row r="15">
      <c r="B15" s="82"/>
      <c r="C15" s="65">
        <v>10.0</v>
      </c>
      <c r="D15" s="245" t="s">
        <v>97</v>
      </c>
      <c r="E15" s="66">
        <v>26.0</v>
      </c>
      <c r="F15" s="91" t="s">
        <v>97</v>
      </c>
      <c r="G15" s="64"/>
      <c r="H15" s="64"/>
      <c r="I15" s="64"/>
      <c r="J15" s="64"/>
      <c r="K15" s="92"/>
      <c r="L15" s="31"/>
    </row>
    <row r="16">
      <c r="B16" s="31"/>
      <c r="C16" s="65">
        <v>40.0</v>
      </c>
      <c r="D16" s="244" t="s">
        <v>96</v>
      </c>
      <c r="E16" s="66">
        <v>23.0</v>
      </c>
      <c r="F16" s="67">
        <f>'Equerre ph40'!L17</f>
        <v>0</v>
      </c>
      <c r="G16" s="14">
        <f>'Equerre ph40'!M17</f>
        <v>0</v>
      </c>
      <c r="H16" s="80" t="str">
        <f>'Equerre ph40'!O17</f>
        <v>#DIV/0!</v>
      </c>
      <c r="I16" s="81" t="str">
        <f>'Equerre ph40'!P17</f>
        <v>#DIV/0!</v>
      </c>
      <c r="J16" s="71" t="str">
        <f t="shared" ref="J16:J33" si="4">(E16-F16)*I16</f>
        <v>#DIV/0!</v>
      </c>
      <c r="K16" s="71" t="str">
        <f t="shared" ref="K16:K33" si="5">IF(J16&gt;=$C$40,"retard","ok")</f>
        <v>#DIV/0!</v>
      </c>
      <c r="L16" s="72">
        <f t="shared" ref="L16:L33" si="6">F16/E16</f>
        <v>0</v>
      </c>
    </row>
    <row r="17">
      <c r="B17" s="86" t="s">
        <v>48</v>
      </c>
      <c r="C17" s="65">
        <v>10.0</v>
      </c>
      <c r="D17" s="240"/>
      <c r="E17" s="66">
        <v>58.0</v>
      </c>
      <c r="F17" s="67">
        <f>'Palier ph10'!M17</f>
        <v>7</v>
      </c>
      <c r="G17" s="14">
        <f>'Palier ph10'!N17</f>
        <v>7</v>
      </c>
      <c r="H17" s="80">
        <f>'Palier ph10'!P17</f>
        <v>0</v>
      </c>
      <c r="I17" s="81">
        <f>'Palier ph10'!Q17</f>
        <v>0.005555555556</v>
      </c>
      <c r="J17" s="71">
        <f t="shared" si="4"/>
        <v>0.2833333333</v>
      </c>
      <c r="K17" s="71" t="str">
        <f t="shared" si="5"/>
        <v>ok</v>
      </c>
      <c r="L17" s="72">
        <f t="shared" si="6"/>
        <v>0.1206896552</v>
      </c>
    </row>
    <row r="18">
      <c r="B18" s="31"/>
      <c r="C18" s="65">
        <v>20.0</v>
      </c>
      <c r="D18" s="240"/>
      <c r="E18" s="66">
        <v>49.0</v>
      </c>
      <c r="F18" s="67">
        <f>'Palier ph20'!L17</f>
        <v>0</v>
      </c>
      <c r="G18" s="14">
        <f>'Palier ph20'!M17</f>
        <v>0</v>
      </c>
      <c r="H18" s="80" t="str">
        <f>'Palier ph20'!O17</f>
        <v>#DIV/0!</v>
      </c>
      <c r="I18" s="81" t="str">
        <f>'Palier ph20'!P17</f>
        <v>#DIV/0!</v>
      </c>
      <c r="J18" s="71" t="str">
        <f t="shared" si="4"/>
        <v>#DIV/0!</v>
      </c>
      <c r="K18" s="71" t="str">
        <f t="shared" si="5"/>
        <v>#DIV/0!</v>
      </c>
      <c r="L18" s="72">
        <f t="shared" si="6"/>
        <v>0</v>
      </c>
    </row>
    <row r="19">
      <c r="B19" s="86" t="s">
        <v>53</v>
      </c>
      <c r="C19" s="65">
        <v>10.0</v>
      </c>
      <c r="D19" s="240"/>
      <c r="E19" s="66">
        <v>66.0</v>
      </c>
      <c r="F19" s="67">
        <f>'Cylindre ph10'!L17</f>
        <v>0</v>
      </c>
      <c r="G19" s="14">
        <f>'Cylindre ph10'!M17</f>
        <v>0</v>
      </c>
      <c r="H19" s="80" t="str">
        <f>'Cylindre ph10'!O17</f>
        <v>#DIV/0!</v>
      </c>
      <c r="I19" s="81" t="str">
        <f>'Cylindre ph10'!P17</f>
        <v>#DIV/0!</v>
      </c>
      <c r="J19" s="71" t="str">
        <f t="shared" si="4"/>
        <v>#DIV/0!</v>
      </c>
      <c r="K19" s="71" t="str">
        <f t="shared" si="5"/>
        <v>#DIV/0!</v>
      </c>
      <c r="L19" s="72">
        <f t="shared" si="6"/>
        <v>0</v>
      </c>
    </row>
    <row r="20">
      <c r="B20" s="82"/>
      <c r="C20" s="65">
        <v>20.0</v>
      </c>
      <c r="D20" s="240"/>
      <c r="E20" s="66">
        <v>66.0</v>
      </c>
      <c r="F20" s="67">
        <f>'Cylindre ph20'!L17</f>
        <v>0</v>
      </c>
      <c r="G20" s="14">
        <f>'Cylindre ph20'!M17</f>
        <v>0</v>
      </c>
      <c r="H20" s="80" t="str">
        <f>'Cylindre ph20'!O17</f>
        <v>#DIV/0!</v>
      </c>
      <c r="I20" s="81" t="str">
        <f>'Cylindre ph20'!P17</f>
        <v>#DIV/0!</v>
      </c>
      <c r="J20" s="71" t="str">
        <f t="shared" si="4"/>
        <v>#DIV/0!</v>
      </c>
      <c r="K20" s="71" t="str">
        <f t="shared" si="5"/>
        <v>#DIV/0!</v>
      </c>
      <c r="L20" s="72">
        <f t="shared" si="6"/>
        <v>0</v>
      </c>
    </row>
    <row r="21">
      <c r="B21" s="31"/>
      <c r="C21" s="65">
        <v>30.0</v>
      </c>
      <c r="D21" s="240"/>
      <c r="E21" s="66">
        <v>49.0</v>
      </c>
      <c r="F21" s="67">
        <f>'Cylindre ph30'!M17</f>
        <v>0</v>
      </c>
      <c r="G21" s="14">
        <f>'Cylindre ph30'!N17</f>
        <v>0</v>
      </c>
      <c r="H21" s="80" t="str">
        <f>'Cylindre ph30'!P17</f>
        <v>#DIV/0!</v>
      </c>
      <c r="I21" s="81" t="str">
        <f>'Cylindre ph30'!Q17</f>
        <v>#DIV/0!</v>
      </c>
      <c r="J21" s="71" t="str">
        <f t="shared" si="4"/>
        <v>#DIV/0!</v>
      </c>
      <c r="K21" s="71" t="str">
        <f t="shared" si="5"/>
        <v>#DIV/0!</v>
      </c>
      <c r="L21" s="72">
        <f t="shared" si="6"/>
        <v>0</v>
      </c>
    </row>
    <row r="22">
      <c r="B22" s="86" t="s">
        <v>62</v>
      </c>
      <c r="C22" s="65">
        <v>0.0</v>
      </c>
      <c r="D22" s="240"/>
      <c r="E22" s="66">
        <v>32.0</v>
      </c>
      <c r="F22" s="67">
        <f>'Volant ph0'!L17</f>
        <v>0</v>
      </c>
      <c r="G22" s="14">
        <f>'Volant ph0'!M17</f>
        <v>0</v>
      </c>
      <c r="H22" s="80" t="str">
        <f>'Volant ph0'!O17</f>
        <v>#DIV/0!</v>
      </c>
      <c r="I22" s="81" t="str">
        <f>'Volant ph0'!P17</f>
        <v>#DIV/0!</v>
      </c>
      <c r="J22" s="71" t="str">
        <f t="shared" si="4"/>
        <v>#DIV/0!</v>
      </c>
      <c r="K22" s="71" t="str">
        <f t="shared" si="5"/>
        <v>#DIV/0!</v>
      </c>
      <c r="L22" s="72">
        <f t="shared" si="6"/>
        <v>0</v>
      </c>
    </row>
    <row r="23">
      <c r="B23" s="82"/>
      <c r="C23" s="65">
        <v>10.0</v>
      </c>
      <c r="D23" s="240"/>
      <c r="E23" s="66">
        <v>30.0</v>
      </c>
      <c r="F23" s="67">
        <f>'Volant ph10'!L17</f>
        <v>0</v>
      </c>
      <c r="G23" s="14">
        <f>'Volant ph10'!M17</f>
        <v>0</v>
      </c>
      <c r="H23" s="80" t="str">
        <f>'Volant ph10'!O17</f>
        <v>#DIV/0!</v>
      </c>
      <c r="I23" s="81" t="str">
        <f>'Volant ph10'!P17</f>
        <v>#DIV/0!</v>
      </c>
      <c r="J23" s="71" t="str">
        <f t="shared" si="4"/>
        <v>#DIV/0!</v>
      </c>
      <c r="K23" s="71" t="str">
        <f t="shared" si="5"/>
        <v>#DIV/0!</v>
      </c>
      <c r="L23" s="72">
        <f t="shared" si="6"/>
        <v>0</v>
      </c>
    </row>
    <row r="24">
      <c r="B24" s="82"/>
      <c r="C24" s="65">
        <v>20.0</v>
      </c>
      <c r="D24" s="240"/>
      <c r="E24" s="66">
        <v>30.0</v>
      </c>
      <c r="F24" s="67">
        <f>'Volant ph20'!M17</f>
        <v>2</v>
      </c>
      <c r="G24" s="14">
        <f>'Volant ph20'!N17</f>
        <v>1</v>
      </c>
      <c r="H24" s="80">
        <f>'Volant ph20'!P17</f>
        <v>0.5</v>
      </c>
      <c r="I24" s="81">
        <f>'Volant ph20'!Q17</f>
        <v>0.03402777778</v>
      </c>
      <c r="J24" s="71">
        <f t="shared" si="4"/>
        <v>0.9527777778</v>
      </c>
      <c r="K24" s="71" t="str">
        <f t="shared" si="5"/>
        <v>retard</v>
      </c>
      <c r="L24" s="72">
        <f t="shared" si="6"/>
        <v>0.06666666667</v>
      </c>
    </row>
    <row r="25">
      <c r="B25" s="82"/>
      <c r="C25" s="65">
        <v>30.0</v>
      </c>
      <c r="D25" s="240"/>
      <c r="E25" s="66">
        <v>25.0</v>
      </c>
      <c r="F25" s="67">
        <f>'Volant ph30'!L17</f>
        <v>1</v>
      </c>
      <c r="G25" s="14">
        <f>'Volant ph30'!M17</f>
        <v>0</v>
      </c>
      <c r="H25" s="80">
        <f>'Volant ph30'!O17</f>
        <v>1</v>
      </c>
      <c r="I25" s="81">
        <f>'Volant ph30'!P17</f>
        <v>0.05555555556</v>
      </c>
      <c r="J25" s="71">
        <f t="shared" si="4"/>
        <v>1.333333333</v>
      </c>
      <c r="K25" s="71" t="str">
        <f t="shared" si="5"/>
        <v>retard</v>
      </c>
      <c r="L25" s="72">
        <f t="shared" si="6"/>
        <v>0.04</v>
      </c>
    </row>
    <row r="26">
      <c r="B26" s="31"/>
      <c r="C26" s="65">
        <v>40.0</v>
      </c>
      <c r="D26" s="240"/>
      <c r="E26" s="66">
        <v>23.0</v>
      </c>
      <c r="F26" s="67">
        <f>'Volant ph40'!L16</f>
        <v>0</v>
      </c>
      <c r="G26" s="14">
        <f>'Volant ph40'!M16</f>
        <v>0</v>
      </c>
      <c r="H26" s="80" t="str">
        <f>'Volant ph40'!O16</f>
        <v>#DIV/0!</v>
      </c>
      <c r="I26" s="81" t="str">
        <f>'Volant ph40'!P16</f>
        <v>#DIV/0!</v>
      </c>
      <c r="J26" s="71" t="str">
        <f t="shared" si="4"/>
        <v>#DIV/0!</v>
      </c>
      <c r="K26" s="71" t="str">
        <f t="shared" si="5"/>
        <v>#DIV/0!</v>
      </c>
      <c r="L26" s="72">
        <f t="shared" si="6"/>
        <v>0</v>
      </c>
    </row>
    <row r="27">
      <c r="B27" s="86" t="s">
        <v>68</v>
      </c>
      <c r="C27" s="65">
        <v>20.0</v>
      </c>
      <c r="D27" s="240"/>
      <c r="E27" s="66">
        <v>86.0</v>
      </c>
      <c r="F27" s="67">
        <f>'Piston ph20'!L17</f>
        <v>20</v>
      </c>
      <c r="G27" s="14">
        <f>'Piston ph20'!M17</f>
        <v>0</v>
      </c>
      <c r="H27" s="80">
        <f>'Piston ph20'!O17</f>
        <v>1</v>
      </c>
      <c r="I27" s="81">
        <f>'Piston ph20'!P17</f>
        <v>0.004901041667</v>
      </c>
      <c r="J27" s="71">
        <f t="shared" si="4"/>
        <v>0.32346875</v>
      </c>
      <c r="K27" s="71" t="str">
        <f t="shared" si="5"/>
        <v>ok</v>
      </c>
      <c r="L27" s="72">
        <f t="shared" si="6"/>
        <v>0.2325581395</v>
      </c>
    </row>
    <row r="28">
      <c r="B28" s="82"/>
      <c r="C28" s="65">
        <v>30.0</v>
      </c>
      <c r="D28" s="240"/>
      <c r="E28" s="66">
        <v>77.0</v>
      </c>
      <c r="F28" s="67">
        <f>'Piston ph30'!L17</f>
        <v>2</v>
      </c>
      <c r="G28" s="14">
        <f>'Piston ph30'!M17</f>
        <v>1</v>
      </c>
      <c r="H28" s="80">
        <f>'Piston ph30'!O17</f>
        <v>0.5</v>
      </c>
      <c r="I28" s="81">
        <f>'Piston ph30'!P17</f>
        <v>-0.003804012346</v>
      </c>
      <c r="J28" s="71">
        <f t="shared" si="4"/>
        <v>-0.2853009259</v>
      </c>
      <c r="K28" s="71" t="str">
        <f t="shared" si="5"/>
        <v>ok</v>
      </c>
      <c r="L28" s="72">
        <f t="shared" si="6"/>
        <v>0.02597402597</v>
      </c>
    </row>
    <row r="29">
      <c r="B29" s="82"/>
      <c r="C29" s="65">
        <v>40.0</v>
      </c>
      <c r="D29" s="240"/>
      <c r="E29" s="66">
        <v>69.0</v>
      </c>
      <c r="F29" s="67">
        <f>'Piston ph40'!L17</f>
        <v>0</v>
      </c>
      <c r="G29" s="14">
        <f>'Piston ph40'!M17</f>
        <v>0</v>
      </c>
      <c r="H29" s="80" t="str">
        <f>'Piston ph40'!O17</f>
        <v>#DIV/0!</v>
      </c>
      <c r="I29" s="96" t="str">
        <f>'Piston ph40'!P17</f>
        <v>#DIV/0!</v>
      </c>
      <c r="J29" s="71" t="str">
        <f t="shared" si="4"/>
        <v>#DIV/0!</v>
      </c>
      <c r="K29" s="71" t="str">
        <f t="shared" si="5"/>
        <v>#DIV/0!</v>
      </c>
      <c r="L29" s="72">
        <f t="shared" si="6"/>
        <v>0</v>
      </c>
    </row>
    <row r="30">
      <c r="B30" s="31"/>
      <c r="C30" s="65">
        <v>50.0</v>
      </c>
      <c r="D30" s="244" t="s">
        <v>96</v>
      </c>
      <c r="E30" s="66">
        <v>69.0</v>
      </c>
      <c r="F30" s="67">
        <f>'Piston ph50'!L17</f>
        <v>0</v>
      </c>
      <c r="G30" s="14">
        <f>'Piston ph50'!M17</f>
        <v>0</v>
      </c>
      <c r="H30" s="80" t="str">
        <f>'Piston ph50'!O17</f>
        <v>#DIV/0!</v>
      </c>
      <c r="I30" s="81" t="str">
        <f>'Piston ph50'!P17</f>
        <v>#DIV/0!</v>
      </c>
      <c r="J30" s="71" t="str">
        <f t="shared" si="4"/>
        <v>#DIV/0!</v>
      </c>
      <c r="K30" s="71" t="str">
        <f t="shared" si="5"/>
        <v>#DIV/0!</v>
      </c>
      <c r="L30" s="72">
        <f t="shared" si="6"/>
        <v>0</v>
      </c>
    </row>
    <row r="31">
      <c r="B31" s="86" t="s">
        <v>72</v>
      </c>
      <c r="C31" s="65">
        <v>10.0</v>
      </c>
      <c r="D31" s="240"/>
      <c r="E31" s="66">
        <v>51.0</v>
      </c>
      <c r="F31" s="67">
        <f>'Raccord M8 ph10'!R17</f>
        <v>0</v>
      </c>
      <c r="G31" s="14">
        <f>'Raccord M8 ph10'!S17</f>
        <v>0</v>
      </c>
      <c r="H31" s="80" t="str">
        <f>'Raccord M8 ph10'!U17</f>
        <v>#DIV/0!</v>
      </c>
      <c r="I31" s="81" t="str">
        <f>'Raccord M8 ph10'!V17</f>
        <v>#DIV/0!</v>
      </c>
      <c r="J31" s="71" t="str">
        <f t="shared" si="4"/>
        <v>#DIV/0!</v>
      </c>
      <c r="K31" s="71" t="str">
        <f t="shared" si="5"/>
        <v>#DIV/0!</v>
      </c>
      <c r="L31" s="72">
        <f t="shared" si="6"/>
        <v>0</v>
      </c>
    </row>
    <row r="32">
      <c r="B32" s="31"/>
      <c r="C32" s="65">
        <v>20.0</v>
      </c>
      <c r="D32" s="246" t="s">
        <v>98</v>
      </c>
      <c r="E32" s="66">
        <v>25.0</v>
      </c>
      <c r="F32" s="67">
        <f>'Raccord M8 ph20'!L17</f>
        <v>0</v>
      </c>
      <c r="G32" s="14">
        <f>'Raccord M8 ph20'!M17</f>
        <v>0</v>
      </c>
      <c r="H32" s="80" t="str">
        <f>'Raccord M8 ph20'!O17</f>
        <v>#DIV/0!</v>
      </c>
      <c r="I32" s="81" t="str">
        <f>'Raccord M8 ph20'!P17</f>
        <v>#DIV/0!</v>
      </c>
      <c r="J32" s="71" t="str">
        <f t="shared" si="4"/>
        <v>#DIV/0!</v>
      </c>
      <c r="K32" s="71" t="str">
        <f t="shared" si="5"/>
        <v>#DIV/0!</v>
      </c>
      <c r="L32" s="72">
        <f t="shared" si="6"/>
        <v>0</v>
      </c>
    </row>
    <row r="33">
      <c r="B33" s="58" t="s">
        <v>77</v>
      </c>
      <c r="C33" s="65">
        <v>10.0</v>
      </c>
      <c r="D33" s="240"/>
      <c r="E33" s="66">
        <v>92.0</v>
      </c>
      <c r="F33" s="67">
        <f>'Pied ph10'!L17</f>
        <v>0</v>
      </c>
      <c r="G33" s="14">
        <f>'Pied ph10'!M17</f>
        <v>0</v>
      </c>
      <c r="H33" s="80" t="str">
        <f>'Pied ph10'!O17</f>
        <v>#DIV/0!</v>
      </c>
      <c r="I33" s="81" t="str">
        <f>'Pied ph10'!P17</f>
        <v>#DIV/0!</v>
      </c>
      <c r="J33" s="71" t="str">
        <f t="shared" si="4"/>
        <v>#DIV/0!</v>
      </c>
      <c r="K33" s="71" t="str">
        <f t="shared" si="5"/>
        <v>#DIV/0!</v>
      </c>
      <c r="L33" s="72">
        <f t="shared" si="6"/>
        <v>0</v>
      </c>
    </row>
    <row r="34">
      <c r="B34" s="98"/>
      <c r="C34" s="98"/>
      <c r="D34" s="98"/>
      <c r="E34" s="98"/>
      <c r="F34" s="98"/>
      <c r="G34" s="98"/>
      <c r="H34" s="98"/>
      <c r="I34" s="98"/>
      <c r="J34" s="98"/>
      <c r="K34" s="99"/>
      <c r="L34" s="99"/>
    </row>
    <row r="35">
      <c r="B35" s="100"/>
      <c r="C35" s="101" t="s">
        <v>99</v>
      </c>
      <c r="D35" s="101" t="s">
        <v>100</v>
      </c>
      <c r="E35" s="101" t="s">
        <v>101</v>
      </c>
      <c r="F35" s="101" t="s">
        <v>102</v>
      </c>
      <c r="G35" s="101" t="s">
        <v>103</v>
      </c>
      <c r="H35" s="102"/>
      <c r="I35" s="247" t="s">
        <v>115</v>
      </c>
      <c r="J35" s="105"/>
    </row>
    <row r="36">
      <c r="B36" s="101" t="s">
        <v>229</v>
      </c>
      <c r="C36" s="248">
        <f>NOW()</f>
        <v>46119.87904</v>
      </c>
      <c r="D36" s="64"/>
      <c r="E36" s="64"/>
      <c r="F36" s="64"/>
      <c r="G36" s="92"/>
      <c r="I36" s="108">
        <f>'total moteurs'!G8</f>
        <v>0</v>
      </c>
      <c r="J36" s="109" t="s">
        <v>106</v>
      </c>
    </row>
    <row r="37">
      <c r="B37" s="101" t="s">
        <v>107</v>
      </c>
      <c r="C37" s="111"/>
      <c r="D37" s="249"/>
      <c r="E37" s="249"/>
      <c r="F37" s="249"/>
      <c r="G37" s="249"/>
    </row>
    <row r="38">
      <c r="B38" s="101" t="s">
        <v>108</v>
      </c>
      <c r="C38" s="110">
        <v>0.75</v>
      </c>
      <c r="D38" s="64"/>
      <c r="E38" s="64"/>
      <c r="F38" s="64"/>
      <c r="G38" s="92"/>
    </row>
    <row r="39">
      <c r="B39" s="101" t="s">
        <v>109</v>
      </c>
      <c r="C39" s="111"/>
      <c r="D39" s="111">
        <f t="shared" ref="D39:G39" si="7">D36-D37</f>
        <v>0</v>
      </c>
      <c r="E39" s="111">
        <f t="shared" si="7"/>
        <v>0</v>
      </c>
      <c r="F39" s="111">
        <f t="shared" si="7"/>
        <v>0</v>
      </c>
      <c r="G39" s="111">
        <f t="shared" si="7"/>
        <v>0</v>
      </c>
    </row>
    <row r="40">
      <c r="B40" s="101" t="s">
        <v>110</v>
      </c>
      <c r="C40" s="112">
        <f>C38-(C39:G39)</f>
        <v>0.75</v>
      </c>
      <c r="D40" s="64"/>
      <c r="E40" s="64"/>
      <c r="F40" s="64"/>
      <c r="G40" s="92"/>
    </row>
  </sheetData>
  <mergeCells count="17">
    <mergeCell ref="J4:K4"/>
    <mergeCell ref="B5:B8"/>
    <mergeCell ref="D8:D9"/>
    <mergeCell ref="D10:D11"/>
    <mergeCell ref="B12:B13"/>
    <mergeCell ref="L14:L15"/>
    <mergeCell ref="F15:K15"/>
    <mergeCell ref="C36:G36"/>
    <mergeCell ref="C38:G38"/>
    <mergeCell ref="C40:G40"/>
    <mergeCell ref="B14:B16"/>
    <mergeCell ref="B17:B18"/>
    <mergeCell ref="B19:B21"/>
    <mergeCell ref="B22:B26"/>
    <mergeCell ref="B27:B30"/>
    <mergeCell ref="B31:B32"/>
    <mergeCell ref="I35:J35"/>
  </mergeCells>
  <conditionalFormatting sqref="L5:L33">
    <cfRule type="cellIs" dxfId="0" priority="1" operator="greaterThanOrEqual">
      <formula>1</formula>
    </cfRule>
  </conditionalFormatting>
  <conditionalFormatting sqref="C2 C40:G40">
    <cfRule type="cellIs" dxfId="6" priority="2" operator="lessThan">
      <formula>"03:00:00"</formula>
    </cfRule>
  </conditionalFormatting>
  <conditionalFormatting sqref="C2 C40:G40">
    <cfRule type="cellIs" dxfId="7" priority="3" operator="greaterThan">
      <formula>"15:00:00"</formula>
    </cfRule>
  </conditionalFormatting>
  <conditionalFormatting sqref="C2 C40:G40">
    <cfRule type="cellIs" dxfId="2" priority="4" operator="between">
      <formula>"15:00:00"</formula>
      <formula>"12:00:00"</formula>
    </cfRule>
  </conditionalFormatting>
  <conditionalFormatting sqref="C2 C40:G40">
    <cfRule type="cellIs" dxfId="5" priority="5" operator="between">
      <formula>"12:00:00"</formula>
      <formula>"09:00:00"</formula>
    </cfRule>
  </conditionalFormatting>
  <conditionalFormatting sqref="C2 C40:G40">
    <cfRule type="cellIs" dxfId="8" priority="6" operator="between">
      <formula>"09:00:00"</formula>
      <formula>"06:00:00"</formula>
    </cfRule>
  </conditionalFormatting>
  <conditionalFormatting sqref="C2 C40:G40">
    <cfRule type="cellIs" dxfId="9" priority="7" operator="notBetween">
      <formula>"06:00:00"</formula>
      <formula>"03:00:00"</formula>
    </cfRule>
  </conditionalFormatting>
  <conditionalFormatting sqref="H5:H14 H16:H33">
    <cfRule type="cellIs" dxfId="1" priority="8" operator="lessThan">
      <formula>"50%"</formula>
    </cfRule>
  </conditionalFormatting>
  <conditionalFormatting sqref="K5:K14 K16:K33">
    <cfRule type="cellIs" dxfId="2" priority="9" operator="equal">
      <formula>"ok"</formula>
    </cfRule>
  </conditionalFormatting>
  <conditionalFormatting sqref="K5:K14 K16:K33">
    <cfRule type="cellIs" dxfId="3" priority="10" operator="equal">
      <formula>"retard"</formula>
    </cfRule>
  </conditionalFormatting>
  <conditionalFormatting sqref="I36">
    <cfRule type="cellIs" dxfId="10" priority="11" operator="greaterThanOrEqual">
      <formula>22</formula>
    </cfRule>
  </conditionalFormatting>
  <conditionalFormatting sqref="J5:J14 J16:J33">
    <cfRule type="cellIs" dxfId="4" priority="12" operator="greaterThan">
      <formula>1080</formula>
    </cfRule>
  </conditionalFormatting>
  <hyperlinks>
    <hyperlink display="10" location="'Support ph10'!A1" ref="C5"/>
    <hyperlink display="15" location="'Support ph15'!A1" ref="C6"/>
    <hyperlink display="20" location="'Support ph20'!A1" ref="C7"/>
    <hyperlink display="30" location="'Support ph30'!A1" ref="C8"/>
    <hyperlink display="20" location="'Equerre ph20'!A1" ref="C9"/>
    <hyperlink display="40" location="'Support ph40'!A1" ref="C10"/>
    <hyperlink display="30" location="'Equerre ph30'!A1" ref="C11"/>
    <hyperlink display="50" location="'Support ph50'!A1" ref="C12"/>
    <hyperlink display="60" location="'Support ph60'!A1" ref="C13"/>
    <hyperlink display="0" location="'Equerre ph0'!A1" ref="C14"/>
    <hyperlink display="10" location="'Equerre ph10'!A1" ref="C15"/>
    <hyperlink display="40" location="'Equerre ph40'!A1" ref="C16"/>
    <hyperlink display="10" location="'Palier ph10'!A1" ref="C17"/>
    <hyperlink display="20" location="'Palier ph20'!A1" ref="C18"/>
    <hyperlink display="10" location="'Cylindre ph10'!A1" ref="C19"/>
    <hyperlink display="20" location="'Cylindre ph20'!A1" ref="C20"/>
    <hyperlink display="30" location="'Cylindre ph30'!A1" ref="C21"/>
    <hyperlink display="0" location="'Volant ph0'!A1" ref="C22"/>
    <hyperlink display="10" location="'Volant ph10'!A1" ref="C23"/>
    <hyperlink display="20" location="'Volant ph20'!A1" ref="C24"/>
    <hyperlink display="30" location="'Volant ph30'!A1" ref="C25"/>
    <hyperlink display="40" location="'Volant ph40'!A1" ref="C26"/>
    <hyperlink display="20" location="'Piston ph20'!A1" ref="C27"/>
    <hyperlink display="30" location="'Piston ph30'!A1" ref="C28"/>
    <hyperlink display="40" location="'Piston ph40'!A1" ref="C29"/>
    <hyperlink display="50" location="'Piston ph50'!A1" ref="C30"/>
    <hyperlink display="10" location="'Raccord M8 ph10'!A1" ref="C31"/>
    <hyperlink display="20" location="'Raccord M8 ph20'!A1" ref="C32"/>
    <hyperlink display="10" location="'Pied ph10'!A1" ref="C33"/>
  </hyperlinks>
  <drawing r:id="rId1"/>
</worksheet>
</file>